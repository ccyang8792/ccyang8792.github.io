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cyan\Desktop\Data Ops\"/>
    </mc:Choice>
  </mc:AlternateContent>
  <xr:revisionPtr revIDLastSave="0" documentId="13_ncr:1_{E62C73E9-D863-4FCB-AEF7-9EF219D8C1DF}" xr6:coauthVersionLast="47" xr6:coauthVersionMax="47" xr10:uidLastSave="{00000000-0000-0000-0000-000000000000}"/>
  <bookViews>
    <workbookView xWindow="-120" yWindow="-120" windowWidth="29040" windowHeight="17520" activeTab="8" xr2:uid="{8DC3A43E-4541-459F-95E2-FA5D01ECEB54}"/>
  </bookViews>
  <sheets>
    <sheet name="S1" sheetId="1" r:id="rId1"/>
    <sheet name="S2" sheetId="2" r:id="rId2"/>
    <sheet name="S3" sheetId="3" r:id="rId3"/>
    <sheet name="S3 (2)" sheetId="18" r:id="rId4"/>
    <sheet name="L1" sheetId="4" r:id="rId5"/>
    <sheet name="L2" sheetId="5" r:id="rId6"/>
    <sheet name="L3" sheetId="6" r:id="rId7"/>
    <sheet name="L4 (1)" sheetId="19" r:id="rId8"/>
    <sheet name="L4 (2)" sheetId="8" r:id="rId9"/>
    <sheet name="L5" sheetId="9" r:id="rId10"/>
    <sheet name="L5 (2)" sheetId="15" r:id="rId11"/>
    <sheet name="L5 (3)" sheetId="16" r:id="rId12"/>
    <sheet name="L6" sheetId="17" r:id="rId13"/>
    <sheet name="L6 (2)" sheetId="10" r:id="rId14"/>
    <sheet name="L7" sheetId="11" r:id="rId15"/>
    <sheet name="L8" sheetId="12" r:id="rId16"/>
  </sheets>
  <definedNames>
    <definedName name="solver_adj" localSheetId="4" hidden="1">'L1'!$A$2:$B$2</definedName>
    <definedName name="solver_adj" localSheetId="5" hidden="1">'L2'!$A$2:$B$2</definedName>
    <definedName name="solver_adj" localSheetId="6" hidden="1">'L3'!$A$2:$C$2</definedName>
    <definedName name="solver_adj" localSheetId="7" hidden="1">'L4 (1)'!$A$2:$C$2</definedName>
    <definedName name="solver_adj" localSheetId="8" hidden="1">'L4 (2)'!$A$2:$C$2</definedName>
    <definedName name="solver_adj" localSheetId="9" hidden="1">'L5'!$A$2:$B$2</definedName>
    <definedName name="solver_adj" localSheetId="10" hidden="1">'L5 (2)'!$A$2:$C$2</definedName>
    <definedName name="solver_adj" localSheetId="11" hidden="1">'L5 (3)'!$A$2:$D$2</definedName>
    <definedName name="solver_adj" localSheetId="12" hidden="1">'L6'!$A$2:$B$2</definedName>
    <definedName name="solver_adj" localSheetId="13" hidden="1">'L6 (2)'!$A$2:$C$2</definedName>
    <definedName name="solver_adj" localSheetId="14" hidden="1">'L7'!$A$2:$D$2</definedName>
    <definedName name="solver_adj" localSheetId="15" hidden="1">'L8'!$A$2:$C$2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drv" localSheetId="4" hidden="1">2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2</definedName>
    <definedName name="solver_eng" localSheetId="4" hidden="1">2</definedName>
    <definedName name="solver_eng" localSheetId="5" hidden="1">2</definedName>
    <definedName name="solver_eng" localSheetId="6" hidden="1">2</definedName>
    <definedName name="solver_eng" localSheetId="7" hidden="1">2</definedName>
    <definedName name="solver_eng" localSheetId="8" hidden="1">2</definedName>
    <definedName name="solver_eng" localSheetId="9" hidden="1">2</definedName>
    <definedName name="solver_eng" localSheetId="10" hidden="1">2</definedName>
    <definedName name="solver_eng" localSheetId="11" hidden="1">2</definedName>
    <definedName name="solver_eng" localSheetId="12" hidden="1">2</definedName>
    <definedName name="solver_eng" localSheetId="13" hidden="1">2</definedName>
    <definedName name="solver_eng" localSheetId="14" hidden="1">2</definedName>
    <definedName name="solver_eng" localSheetId="15" hidden="1">2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lhs1" localSheetId="4" hidden="1">'L1'!$A$2</definedName>
    <definedName name="solver_lhs1" localSheetId="5" hidden="1">'L2'!$A$2</definedName>
    <definedName name="solver_lhs1" localSheetId="6" hidden="1">'L3'!$A$2</definedName>
    <definedName name="solver_lhs1" localSheetId="7" hidden="1">'L4 (1)'!$A$2</definedName>
    <definedName name="solver_lhs1" localSheetId="8" hidden="1">'L4 (2)'!$A$2</definedName>
    <definedName name="solver_lhs1" localSheetId="9" hidden="1">'L5'!$F$5</definedName>
    <definedName name="solver_lhs1" localSheetId="10" hidden="1">'L5 (2)'!$A$2</definedName>
    <definedName name="solver_lhs1" localSheetId="11" hidden="1">'L5 (3)'!$A$2</definedName>
    <definedName name="solver_lhs1" localSheetId="12" hidden="1">'L6'!$A$2</definedName>
    <definedName name="solver_lhs1" localSheetId="13" hidden="1">'L6 (2)'!$A$2</definedName>
    <definedName name="solver_lhs1" localSheetId="14" hidden="1">'L7'!$A$2</definedName>
    <definedName name="solver_lhs1" localSheetId="15" hidden="1">'L8'!$A$2</definedName>
    <definedName name="solver_lhs10" localSheetId="9" hidden="1">'L5'!$F$2</definedName>
    <definedName name="solver_lhs10" localSheetId="10" hidden="1">'L5 (2)'!$F$5</definedName>
    <definedName name="solver_lhs10" localSheetId="11" hidden="1">'L5 (3)'!$D$2</definedName>
    <definedName name="solver_lhs10" localSheetId="14" hidden="1">'L7'!$H$2</definedName>
    <definedName name="solver_lhs11" localSheetId="11" hidden="1">'L5 (3)'!$G$5</definedName>
    <definedName name="solver_lhs11" localSheetId="14" hidden="1">'L7'!$H$5</definedName>
    <definedName name="solver_lhs12" localSheetId="11" hidden="1">'L5 (3)'!$A$2</definedName>
    <definedName name="solver_lhs2" localSheetId="4" hidden="1">'L1'!$A$2:$B$2</definedName>
    <definedName name="solver_lhs2" localSheetId="5" hidden="1">'L2'!$A$2:$B$2</definedName>
    <definedName name="solver_lhs2" localSheetId="6" hidden="1">'L3'!$A$2:$B$2</definedName>
    <definedName name="solver_lhs2" localSheetId="7" hidden="1">'L4 (1)'!$A$2:$B$2</definedName>
    <definedName name="solver_lhs2" localSheetId="8" hidden="1">'L4 (2)'!$A$2:$B$2</definedName>
    <definedName name="solver_lhs2" localSheetId="9" hidden="1">'L5'!$F$5</definedName>
    <definedName name="solver_lhs2" localSheetId="10" hidden="1">'L5 (2)'!$A$2</definedName>
    <definedName name="solver_lhs2" localSheetId="11" hidden="1">'L5 (3)'!$A$2</definedName>
    <definedName name="solver_lhs2" localSheetId="12" hidden="1">'L6'!$A$2:$B$2</definedName>
    <definedName name="solver_lhs2" localSheetId="13" hidden="1">'L6 (2)'!$A$2</definedName>
    <definedName name="solver_lhs2" localSheetId="14" hidden="1">'L7'!$A$2</definedName>
    <definedName name="solver_lhs2" localSheetId="15" hidden="1">'L8'!$A$2</definedName>
    <definedName name="solver_lhs3" localSheetId="4" hidden="1">'L1'!$B$2</definedName>
    <definedName name="solver_lhs3" localSheetId="5" hidden="1">'L2'!$B$2</definedName>
    <definedName name="solver_lhs3" localSheetId="6" hidden="1">'L3'!$B$2</definedName>
    <definedName name="solver_lhs3" localSheetId="7" hidden="1">'L4 (1)'!$B$2</definedName>
    <definedName name="solver_lhs3" localSheetId="8" hidden="1">'L4 (2)'!$B$2</definedName>
    <definedName name="solver_lhs3" localSheetId="9" hidden="1">'L5'!$F$2</definedName>
    <definedName name="solver_lhs3" localSheetId="10" hidden="1">'L5 (2)'!$A$2</definedName>
    <definedName name="solver_lhs3" localSheetId="11" hidden="1">'L5 (3)'!$A$2</definedName>
    <definedName name="solver_lhs3" localSheetId="12" hidden="1">'L6'!$B$2</definedName>
    <definedName name="solver_lhs3" localSheetId="13" hidden="1">'L6 (2)'!$A$2:$B$2</definedName>
    <definedName name="solver_lhs3" localSheetId="14" hidden="1">'L7'!$A$2:$C$2</definedName>
    <definedName name="solver_lhs3" localSheetId="15" hidden="1">'L8'!$A$2</definedName>
    <definedName name="solver_lhs4" localSheetId="4" hidden="1">'L1'!$F$2</definedName>
    <definedName name="solver_lhs4" localSheetId="5" hidden="1">'L2'!$F$2</definedName>
    <definedName name="solver_lhs4" localSheetId="6" hidden="1">'L3'!$B$2</definedName>
    <definedName name="solver_lhs4" localSheetId="7" hidden="1">'L4 (1)'!$C$2</definedName>
    <definedName name="solver_lhs4" localSheetId="8" hidden="1">'L4 (2)'!$C$2</definedName>
    <definedName name="solver_lhs4" localSheetId="9" hidden="1">'L5'!$B$2</definedName>
    <definedName name="solver_lhs4" localSheetId="10" hidden="1">'L5 (2)'!$F$2</definedName>
    <definedName name="solver_lhs4" localSheetId="11" hidden="1">'L5 (3)'!$B$2</definedName>
    <definedName name="solver_lhs4" localSheetId="12" hidden="1">'L6'!$B$2</definedName>
    <definedName name="solver_lhs4" localSheetId="13" hidden="1">'L6 (2)'!$B$2</definedName>
    <definedName name="solver_lhs4" localSheetId="14" hidden="1">'L7'!$B$2</definedName>
    <definedName name="solver_lhs4" localSheetId="15" hidden="1">'L8'!$A$2:$B$2</definedName>
    <definedName name="solver_lhs5" localSheetId="4" hidden="1">'L1'!$F$5</definedName>
    <definedName name="solver_lhs5" localSheetId="5" hidden="1">'L2'!$F$5</definedName>
    <definedName name="solver_lhs5" localSheetId="6" hidden="1">'L3'!$B$2</definedName>
    <definedName name="solver_lhs5" localSheetId="7" hidden="1">'L4 (1)'!$C$2</definedName>
    <definedName name="solver_lhs5" localSheetId="8" hidden="1">'L4 (2)'!$C$2</definedName>
    <definedName name="solver_lhs5" localSheetId="9" hidden="1">'L5'!$A$2</definedName>
    <definedName name="solver_lhs5" localSheetId="10" hidden="1">'L5 (2)'!$C$2</definedName>
    <definedName name="solver_lhs5" localSheetId="11" hidden="1">'L5 (3)'!$B$2</definedName>
    <definedName name="solver_lhs5" localSheetId="12" hidden="1">'L6'!$B$2</definedName>
    <definedName name="solver_lhs5" localSheetId="13" hidden="1">'L6 (2)'!$B$2</definedName>
    <definedName name="solver_lhs5" localSheetId="14" hidden="1">'L7'!$B$9</definedName>
    <definedName name="solver_lhs5" localSheetId="15" hidden="1">'L8'!$B$2</definedName>
    <definedName name="solver_lhs6" localSheetId="6" hidden="1">'L3'!$C$2</definedName>
    <definedName name="solver_lhs6" localSheetId="7" hidden="1">'L4 (1)'!$F$2</definedName>
    <definedName name="solver_lhs6" localSheetId="8" hidden="1">'L4 (2)'!$F$2</definedName>
    <definedName name="solver_lhs6" localSheetId="9" hidden="1">'L5'!$B$2</definedName>
    <definedName name="solver_lhs6" localSheetId="10" hidden="1">'L5 (2)'!$B$2</definedName>
    <definedName name="solver_lhs6" localSheetId="11" hidden="1">'L5 (3)'!$C$2</definedName>
    <definedName name="solver_lhs6" localSheetId="12" hidden="1">'L6'!$E$2</definedName>
    <definedName name="solver_lhs6" localSheetId="13" hidden="1">'L6 (2)'!$B$2</definedName>
    <definedName name="solver_lhs6" localSheetId="14" hidden="1">'L7'!$C$2</definedName>
    <definedName name="solver_lhs6" localSheetId="15" hidden="1">'L8'!$B$2</definedName>
    <definedName name="solver_lhs7" localSheetId="6" hidden="1">'L3'!$F$2</definedName>
    <definedName name="solver_lhs7" localSheetId="7" hidden="1">'L4 (1)'!$F$2</definedName>
    <definedName name="solver_lhs7" localSheetId="8" hidden="1">'L4 (2)'!$F$2</definedName>
    <definedName name="solver_lhs7" localSheetId="9" hidden="1">'L5'!$F$2</definedName>
    <definedName name="solver_lhs7" localSheetId="10" hidden="1">'L5 (2)'!$B$2</definedName>
    <definedName name="solver_lhs7" localSheetId="11" hidden="1">'L5 (3)'!$D$2</definedName>
    <definedName name="solver_lhs7" localSheetId="12" hidden="1">'L6'!$E$5</definedName>
    <definedName name="solver_lhs7" localSheetId="13" hidden="1">'L6 (2)'!$C$2</definedName>
    <definedName name="solver_lhs7" localSheetId="14" hidden="1">'L7'!$C$2</definedName>
    <definedName name="solver_lhs7" localSheetId="15" hidden="1">'L8'!$C$2</definedName>
    <definedName name="solver_lhs8" localSheetId="6" hidden="1">'L3'!$F$5</definedName>
    <definedName name="solver_lhs8" localSheetId="9" hidden="1">'L5'!$F$2</definedName>
    <definedName name="solver_lhs8" localSheetId="10" hidden="1">'L5 (2)'!$A$2</definedName>
    <definedName name="solver_lhs8" localSheetId="11" hidden="1">'L5 (3)'!$A$2</definedName>
    <definedName name="solver_lhs8" localSheetId="12" hidden="1">'L6'!$E$5</definedName>
    <definedName name="solver_lhs8" localSheetId="13" hidden="1">'L6 (2)'!$F$2</definedName>
    <definedName name="solver_lhs8" localSheetId="14" hidden="1">'L7'!$C$2</definedName>
    <definedName name="solver_lhs8" localSheetId="15" hidden="1">'L8'!$F$2</definedName>
    <definedName name="solver_lhs9" localSheetId="9" hidden="1">'L5'!$F$2</definedName>
    <definedName name="solver_lhs9" localSheetId="10" hidden="1">'L5 (2)'!$F$5</definedName>
    <definedName name="solver_lhs9" localSheetId="11" hidden="1">'L5 (3)'!$G$2</definedName>
    <definedName name="solver_lhs9" localSheetId="12" hidden="1">'L6'!$E$5</definedName>
    <definedName name="solver_lhs9" localSheetId="13" hidden="1">'L6 (2)'!$F$5</definedName>
    <definedName name="solver_lhs9" localSheetId="14" hidden="1">'L7'!$D$2</definedName>
    <definedName name="solver_lhs9" localSheetId="15" hidden="1">'L8'!$F$5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um" localSheetId="4" hidden="1">5</definedName>
    <definedName name="solver_num" localSheetId="5" hidden="1">5</definedName>
    <definedName name="solver_num" localSheetId="6" hidden="1">8</definedName>
    <definedName name="solver_num" localSheetId="7" hidden="1">6</definedName>
    <definedName name="solver_num" localSheetId="8" hidden="1">6</definedName>
    <definedName name="solver_num" localSheetId="9" hidden="1">6</definedName>
    <definedName name="solver_num" localSheetId="10" hidden="1">10</definedName>
    <definedName name="solver_num" localSheetId="11" hidden="1">11</definedName>
    <definedName name="solver_num" localSheetId="12" hidden="1">7</definedName>
    <definedName name="solver_num" localSheetId="13" hidden="1">9</definedName>
    <definedName name="solver_num" localSheetId="14" hidden="1">11</definedName>
    <definedName name="solver_num" localSheetId="15" hidden="1">9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opt" localSheetId="4" hidden="1">'L1'!$B$7</definedName>
    <definedName name="solver_opt" localSheetId="5" hidden="1">'L2'!$B$7</definedName>
    <definedName name="solver_opt" localSheetId="6" hidden="1">'L3'!$B$7</definedName>
    <definedName name="solver_opt" localSheetId="7" hidden="1">'L4 (1)'!$B$7</definedName>
    <definedName name="solver_opt" localSheetId="8" hidden="1">'L4 (2)'!$B$7</definedName>
    <definedName name="solver_opt" localSheetId="9" hidden="1">'L5'!$B$7</definedName>
    <definedName name="solver_opt" localSheetId="10" hidden="1">'L5 (2)'!$B$7</definedName>
    <definedName name="solver_opt" localSheetId="11" hidden="1">'L5 (3)'!$B$7</definedName>
    <definedName name="solver_opt" localSheetId="12" hidden="1">'L6'!$E$8</definedName>
    <definedName name="solver_opt" localSheetId="13" hidden="1">'L6 (2)'!$F$8</definedName>
    <definedName name="solver_opt" localSheetId="14" hidden="1">'L7'!$B$7</definedName>
    <definedName name="solver_opt" localSheetId="15" hidden="1">'L8'!$B$7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rbv" localSheetId="4" hidden="1">2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2</definedName>
    <definedName name="solver_rel1" localSheetId="4" hidden="1">3</definedName>
    <definedName name="solver_rel1" localSheetId="5" hidden="1">3</definedName>
    <definedName name="solver_rel1" localSheetId="6" hidden="1">3</definedName>
    <definedName name="solver_rel1" localSheetId="7" hidden="1">3</definedName>
    <definedName name="solver_rel1" localSheetId="8" hidden="1">3</definedName>
    <definedName name="solver_rel1" localSheetId="9" hidden="1">1</definedName>
    <definedName name="solver_rel1" localSheetId="10" hidden="1">1</definedName>
    <definedName name="solver_rel1" localSheetId="11" hidden="1">2</definedName>
    <definedName name="solver_rel1" localSheetId="12" hidden="1">3</definedName>
    <definedName name="solver_rel1" localSheetId="13" hidden="1">3</definedName>
    <definedName name="solver_rel1" localSheetId="14" hidden="1">3</definedName>
    <definedName name="solver_rel1" localSheetId="15" hidden="1">1</definedName>
    <definedName name="solver_rel10" localSheetId="9" hidden="1">1</definedName>
    <definedName name="solver_rel10" localSheetId="10" hidden="1">1</definedName>
    <definedName name="solver_rel10" localSheetId="11" hidden="1">3</definedName>
    <definedName name="solver_rel10" localSheetId="14" hidden="1">1</definedName>
    <definedName name="solver_rel11" localSheetId="11" hidden="1">1</definedName>
    <definedName name="solver_rel11" localSheetId="14" hidden="1">1</definedName>
    <definedName name="solver_rel12" localSheetId="11" hidden="1">3</definedName>
    <definedName name="solver_rel2" localSheetId="4" hidden="1">4</definedName>
    <definedName name="solver_rel2" localSheetId="5" hidden="1">4</definedName>
    <definedName name="solver_rel2" localSheetId="6" hidden="1">4</definedName>
    <definedName name="solver_rel2" localSheetId="7" hidden="1">4</definedName>
    <definedName name="solver_rel2" localSheetId="8" hidden="1">4</definedName>
    <definedName name="solver_rel2" localSheetId="9" hidden="1">1</definedName>
    <definedName name="solver_rel2" localSheetId="10" hidden="1">3</definedName>
    <definedName name="solver_rel2" localSheetId="11" hidden="1">2</definedName>
    <definedName name="solver_rel2" localSheetId="12" hidden="1">4</definedName>
    <definedName name="solver_rel2" localSheetId="13" hidden="1">3</definedName>
    <definedName name="solver_rel2" localSheetId="14" hidden="1">3</definedName>
    <definedName name="solver_rel2" localSheetId="15" hidden="1">3</definedName>
    <definedName name="solver_rel3" localSheetId="4" hidden="1">3</definedName>
    <definedName name="solver_rel3" localSheetId="5" hidden="1">3</definedName>
    <definedName name="solver_rel3" localSheetId="6" hidden="1">1</definedName>
    <definedName name="solver_rel3" localSheetId="7" hidden="1">3</definedName>
    <definedName name="solver_rel3" localSheetId="8" hidden="1">3</definedName>
    <definedName name="solver_rel3" localSheetId="9" hidden="1">1</definedName>
    <definedName name="solver_rel3" localSheetId="10" hidden="1">4</definedName>
    <definedName name="solver_rel3" localSheetId="11" hidden="1">3</definedName>
    <definedName name="solver_rel3" localSheetId="12" hidden="1">1</definedName>
    <definedName name="solver_rel3" localSheetId="13" hidden="1">4</definedName>
    <definedName name="solver_rel3" localSheetId="14" hidden="1">4</definedName>
    <definedName name="solver_rel3" localSheetId="15" hidden="1">3</definedName>
    <definedName name="solver_rel4" localSheetId="4" hidden="1">1</definedName>
    <definedName name="solver_rel4" localSheetId="5" hidden="1">1</definedName>
    <definedName name="solver_rel4" localSheetId="6" hidden="1">3</definedName>
    <definedName name="solver_rel4" localSheetId="7" hidden="1">2</definedName>
    <definedName name="solver_rel4" localSheetId="8" hidden="1">2</definedName>
    <definedName name="solver_rel4" localSheetId="9" hidden="1">4</definedName>
    <definedName name="solver_rel4" localSheetId="10" hidden="1">1</definedName>
    <definedName name="solver_rel4" localSheetId="11" hidden="1">4</definedName>
    <definedName name="solver_rel4" localSheetId="12" hidden="1">3</definedName>
    <definedName name="solver_rel4" localSheetId="13" hidden="1">1</definedName>
    <definedName name="solver_rel4" localSheetId="14" hidden="1">3</definedName>
    <definedName name="solver_rel4" localSheetId="15" hidden="1">4</definedName>
    <definedName name="solver_rel5" localSheetId="4" hidden="1">1</definedName>
    <definedName name="solver_rel5" localSheetId="5" hidden="1">1</definedName>
    <definedName name="solver_rel5" localSheetId="6" hidden="1">3</definedName>
    <definedName name="solver_rel5" localSheetId="7" hidden="1">4</definedName>
    <definedName name="solver_rel5" localSheetId="8" hidden="1">4</definedName>
    <definedName name="solver_rel5" localSheetId="9" hidden="1">3</definedName>
    <definedName name="solver_rel5" localSheetId="10" hidden="1">5</definedName>
    <definedName name="solver_rel5" localSheetId="11" hidden="1">3</definedName>
    <definedName name="solver_rel5" localSheetId="12" hidden="1">3</definedName>
    <definedName name="solver_rel5" localSheetId="13" hidden="1">3</definedName>
    <definedName name="solver_rel5" localSheetId="14" hidden="1">1</definedName>
    <definedName name="solver_rel5" localSheetId="15" hidden="1">1</definedName>
    <definedName name="solver_rel6" localSheetId="6" hidden="1">5</definedName>
    <definedName name="solver_rel6" localSheetId="7" hidden="1">1</definedName>
    <definedName name="solver_rel6" localSheetId="8" hidden="1">1</definedName>
    <definedName name="solver_rel6" localSheetId="9" hidden="1">3</definedName>
    <definedName name="solver_rel6" localSheetId="10" hidden="1">4</definedName>
    <definedName name="solver_rel6" localSheetId="11" hidden="1">5</definedName>
    <definedName name="solver_rel6" localSheetId="12" hidden="1">1</definedName>
    <definedName name="solver_rel6" localSheetId="13" hidden="1">3</definedName>
    <definedName name="solver_rel6" localSheetId="14" hidden="1">1</definedName>
    <definedName name="solver_rel6" localSheetId="15" hidden="1">3</definedName>
    <definedName name="solver_rel7" localSheetId="6" hidden="1">1</definedName>
    <definedName name="solver_rel7" localSheetId="7" hidden="1">1</definedName>
    <definedName name="solver_rel7" localSheetId="8" hidden="1">1</definedName>
    <definedName name="solver_rel7" localSheetId="9" hidden="1">1</definedName>
    <definedName name="solver_rel7" localSheetId="10" hidden="1">3</definedName>
    <definedName name="solver_rel7" localSheetId="11" hidden="1">4</definedName>
    <definedName name="solver_rel7" localSheetId="12" hidden="1">3</definedName>
    <definedName name="solver_rel7" localSheetId="13" hidden="1">5</definedName>
    <definedName name="solver_rel7" localSheetId="14" hidden="1">3</definedName>
    <definedName name="solver_rel7" localSheetId="15" hidden="1">5</definedName>
    <definedName name="solver_rel8" localSheetId="6" hidden="1">1</definedName>
    <definedName name="solver_rel8" localSheetId="9" hidden="1">1</definedName>
    <definedName name="solver_rel8" localSheetId="10" hidden="1">3</definedName>
    <definedName name="solver_rel8" localSheetId="11" hidden="1">1</definedName>
    <definedName name="solver_rel8" localSheetId="12" hidden="1">3</definedName>
    <definedName name="solver_rel8" localSheetId="13" hidden="1">1</definedName>
    <definedName name="solver_rel8" localSheetId="14" hidden="1">3</definedName>
    <definedName name="solver_rel8" localSheetId="15" hidden="1">1</definedName>
    <definedName name="solver_rel9" localSheetId="9" hidden="1">1</definedName>
    <definedName name="solver_rel9" localSheetId="10" hidden="1">1</definedName>
    <definedName name="solver_rel9" localSheetId="11" hidden="1">1</definedName>
    <definedName name="solver_rel9" localSheetId="12" hidden="1">3</definedName>
    <definedName name="solver_rel9" localSheetId="13" hidden="1">3</definedName>
    <definedName name="solver_rel9" localSheetId="14" hidden="1">5</definedName>
    <definedName name="solver_rel9" localSheetId="15" hidden="1">1</definedName>
    <definedName name="solver_rhs1" localSheetId="4" hidden="1">0</definedName>
    <definedName name="solver_rhs1" localSheetId="5" hidden="1">0</definedName>
    <definedName name="solver_rhs1" localSheetId="6" hidden="1">0</definedName>
    <definedName name="solver_rhs1" localSheetId="7" hidden="1">0</definedName>
    <definedName name="solver_rhs1" localSheetId="8" hidden="1">0</definedName>
    <definedName name="solver_rhs1" localSheetId="9" hidden="1">'L5'!$G$5</definedName>
    <definedName name="solver_rhs1" localSheetId="10" hidden="1">'L5 (2)'!$C$2*1000</definedName>
    <definedName name="solver_rhs1" localSheetId="11" hidden="1">'L5 (3)'!$D$2*5</definedName>
    <definedName name="solver_rhs1" localSheetId="12" hidden="1">0</definedName>
    <definedName name="solver_rhs1" localSheetId="13" hidden="1">'L6 (2)'!$C$2</definedName>
    <definedName name="solver_rhs1" localSheetId="14" hidden="1">'L7'!$D$2*10</definedName>
    <definedName name="solver_rhs1" localSheetId="15" hidden="1">'L8'!$C$2*100</definedName>
    <definedName name="solver_rhs10" localSheetId="9" hidden="1">'L5'!$G$2</definedName>
    <definedName name="solver_rhs10" localSheetId="10" hidden="1">'L5 (2)'!$G$5</definedName>
    <definedName name="solver_rhs10" localSheetId="11" hidden="1">0</definedName>
    <definedName name="solver_rhs10" localSheetId="14" hidden="1">'L7'!$I$2</definedName>
    <definedName name="solver_rhs11" localSheetId="11" hidden="1">'L5 (3)'!$H$5</definedName>
    <definedName name="solver_rhs11" localSheetId="14" hidden="1">'L7'!$I$5</definedName>
    <definedName name="solver_rhs12" localSheetId="11" hidden="1">10*'L5 (3)'!$C$2</definedName>
    <definedName name="solver_rhs2" localSheetId="4" hidden="1">"integer"</definedName>
    <definedName name="solver_rhs2" localSheetId="5" hidden="1">"integer"</definedName>
    <definedName name="solver_rhs2" localSheetId="6" hidden="1">"integer"</definedName>
    <definedName name="solver_rhs2" localSheetId="7" hidden="1">"integer"</definedName>
    <definedName name="solver_rhs2" localSheetId="8" hidden="1">"integer"</definedName>
    <definedName name="solver_rhs2" localSheetId="9" hidden="1">'L5'!$G$5</definedName>
    <definedName name="solver_rhs2" localSheetId="10" hidden="1">10*'L5 (2)'!$C$2</definedName>
    <definedName name="solver_rhs2" localSheetId="11" hidden="1">'L5 (3)'!$C$2*10</definedName>
    <definedName name="solver_rhs2" localSheetId="12" hidden="1">"integer"</definedName>
    <definedName name="solver_rhs2" localSheetId="13" hidden="1">0</definedName>
    <definedName name="solver_rhs2" localSheetId="14" hidden="1">0</definedName>
    <definedName name="solver_rhs2" localSheetId="15" hidden="1">'L8'!$C$2*10</definedName>
    <definedName name="solver_rhs3" localSheetId="4" hidden="1">0</definedName>
    <definedName name="solver_rhs3" localSheetId="5" hidden="1">0</definedName>
    <definedName name="solver_rhs3" localSheetId="6" hidden="1">'L3'!$C$2*1000000</definedName>
    <definedName name="solver_rhs3" localSheetId="7" hidden="1">0</definedName>
    <definedName name="solver_rhs3" localSheetId="8" hidden="1">0</definedName>
    <definedName name="solver_rhs3" localSheetId="9" hidden="1">'L5'!$G$2</definedName>
    <definedName name="solver_rhs3" localSheetId="10" hidden="1">"integer"</definedName>
    <definedName name="solver_rhs3" localSheetId="11" hidden="1">10*'L5 (3)'!$C$2</definedName>
    <definedName name="solver_rhs3" localSheetId="12" hidden="1">'L6'!#REF!*1000</definedName>
    <definedName name="solver_rhs3" localSheetId="13" hidden="1">"integer"</definedName>
    <definedName name="solver_rhs3" localSheetId="14" hidden="1">"integer"</definedName>
    <definedName name="solver_rhs3" localSheetId="15" hidden="1">10</definedName>
    <definedName name="solver_rhs4" localSheetId="4" hidden="1">'L1'!$G$2</definedName>
    <definedName name="solver_rhs4" localSheetId="5" hidden="1">'L2'!$G$2</definedName>
    <definedName name="solver_rhs4" localSheetId="6" hidden="1">0</definedName>
    <definedName name="solver_rhs4" localSheetId="7" hidden="1">'L4 (1)'!$B$2/5</definedName>
    <definedName name="solver_rhs4" localSheetId="8" hidden="1">'L4 (2)'!$B$2/5</definedName>
    <definedName name="solver_rhs4" localSheetId="9" hidden="1">"integer"</definedName>
    <definedName name="solver_rhs4" localSheetId="10" hidden="1">'L5 (2)'!$G$2</definedName>
    <definedName name="solver_rhs4" localSheetId="11" hidden="1">"integer"</definedName>
    <definedName name="solver_rhs4" localSheetId="12" hidden="1">'L6'!#REF!</definedName>
    <definedName name="solver_rhs4" localSheetId="13" hidden="1">'L6 (2)'!$C$2*1000</definedName>
    <definedName name="solver_rhs4" localSheetId="14" hidden="1">0</definedName>
    <definedName name="solver_rhs4" localSheetId="15" hidden="1">"integer"</definedName>
    <definedName name="solver_rhs5" localSheetId="4" hidden="1">'L1'!$G$5</definedName>
    <definedName name="solver_rhs5" localSheetId="5" hidden="1">'L2'!$G$5</definedName>
    <definedName name="solver_rhs5" localSheetId="6" hidden="1">50*'L3'!$C$2</definedName>
    <definedName name="solver_rhs5" localSheetId="7" hidden="1">"integer"</definedName>
    <definedName name="solver_rhs5" localSheetId="8" hidden="1">"integer"</definedName>
    <definedName name="solver_rhs5" localSheetId="9" hidden="1">0</definedName>
    <definedName name="solver_rhs5" localSheetId="10" hidden="1">"binary"</definedName>
    <definedName name="solver_rhs5" localSheetId="11" hidden="1">0</definedName>
    <definedName name="solver_rhs5" localSheetId="12" hidden="1">0</definedName>
    <definedName name="solver_rhs5" localSheetId="13" hidden="1">'L6 (2)'!$C$2</definedName>
    <definedName name="solver_rhs5" localSheetId="14" hidden="1">50</definedName>
    <definedName name="solver_rhs5" localSheetId="15" hidden="1">'L8'!$A$2</definedName>
    <definedName name="solver_rhs6" localSheetId="6" hidden="1">"binary"</definedName>
    <definedName name="solver_rhs6" localSheetId="7" hidden="1">'L4 (1)'!$G$2</definedName>
    <definedName name="solver_rhs6" localSheetId="8" hidden="1">'L4 (2)'!$G$2</definedName>
    <definedName name="solver_rhs6" localSheetId="9" hidden="1">0</definedName>
    <definedName name="solver_rhs6" localSheetId="10" hidden="1">"integer"</definedName>
    <definedName name="solver_rhs6" localSheetId="11" hidden="1">"binary"</definedName>
    <definedName name="solver_rhs6" localSheetId="12" hidden="1">'L6'!$F$2</definedName>
    <definedName name="solver_rhs6" localSheetId="13" hidden="1">0</definedName>
    <definedName name="solver_rhs6" localSheetId="14" hidden="1">'L7'!$D$2*1000</definedName>
    <definedName name="solver_rhs6" localSheetId="15" hidden="1">0</definedName>
    <definedName name="solver_rhs7" localSheetId="6" hidden="1">'L3'!$G$2</definedName>
    <definedName name="solver_rhs7" localSheetId="7" hidden="1">'L4 (1)'!$G$2</definedName>
    <definedName name="solver_rhs7" localSheetId="8" hidden="1">'L4 (2)'!$G$2</definedName>
    <definedName name="solver_rhs7" localSheetId="9" hidden="1">'L5'!$G$2</definedName>
    <definedName name="solver_rhs7" localSheetId="10" hidden="1">0</definedName>
    <definedName name="solver_rhs7" localSheetId="11" hidden="1">"integer"</definedName>
    <definedName name="solver_rhs7" localSheetId="12" hidden="1">'L6'!$F$5</definedName>
    <definedName name="solver_rhs7" localSheetId="13" hidden="1">"binary"</definedName>
    <definedName name="solver_rhs7" localSheetId="14" hidden="1">'L7'!$D$2</definedName>
    <definedName name="solver_rhs7" localSheetId="15" hidden="1">"binary"</definedName>
    <definedName name="solver_rhs8" localSheetId="6" hidden="1">'L3'!$G$5</definedName>
    <definedName name="solver_rhs8" localSheetId="9" hidden="1">'L5'!$G$2</definedName>
    <definedName name="solver_rhs8" localSheetId="10" hidden="1">0</definedName>
    <definedName name="solver_rhs8" localSheetId="11" hidden="1">'L5 (3)'!$C$2*1000</definedName>
    <definedName name="solver_rhs8" localSheetId="12" hidden="1">'L6'!$F$5</definedName>
    <definedName name="solver_rhs8" localSheetId="13" hidden="1">'L6 (2)'!$G$2</definedName>
    <definedName name="solver_rhs8" localSheetId="14" hidden="1">0</definedName>
    <definedName name="solver_rhs8" localSheetId="15" hidden="1">'L8'!$G$2</definedName>
    <definedName name="solver_rhs9" localSheetId="9" hidden="1">'L5'!$G$2</definedName>
    <definedName name="solver_rhs9" localSheetId="10" hidden="1">'L5 (2)'!$G$5</definedName>
    <definedName name="solver_rhs9" localSheetId="11" hidden="1">'L5 (3)'!$H$2</definedName>
    <definedName name="solver_rhs9" localSheetId="12" hidden="1">'L6'!$F$5</definedName>
    <definedName name="solver_rhs9" localSheetId="13" hidden="1">'L6 (2)'!$G$5</definedName>
    <definedName name="solver_rhs9" localSheetId="14" hidden="1">"binary"</definedName>
    <definedName name="solver_rhs9" localSheetId="15" hidden="1">'L8'!$G$5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scl" localSheetId="4" hidden="1">2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yp" localSheetId="4" hidden="1">1</definedName>
    <definedName name="solver_typ" localSheetId="5" hidden="1">1</definedName>
    <definedName name="solver_typ" localSheetId="6" hidden="1">1</definedName>
    <definedName name="solver_typ" localSheetId="7" hidden="1">1</definedName>
    <definedName name="solver_typ" localSheetId="8" hidden="1">1</definedName>
    <definedName name="solver_typ" localSheetId="9" hidden="1">1</definedName>
    <definedName name="solver_typ" localSheetId="10" hidden="1">1</definedName>
    <definedName name="solver_typ" localSheetId="11" hidden="1">1</definedName>
    <definedName name="solver_typ" localSheetId="12" hidden="1">1</definedName>
    <definedName name="solver_typ" localSheetId="13" hidden="1">1</definedName>
    <definedName name="solver_typ" localSheetId="14" hidden="1">1</definedName>
    <definedName name="solver_typ" localSheetId="15" hidden="1">1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9" l="1"/>
  <c r="F5" i="19"/>
  <c r="F2" i="19"/>
  <c r="F5" i="8"/>
  <c r="I6" i="18"/>
  <c r="I3" i="18"/>
  <c r="F2" i="18" a="1"/>
  <c r="F2" i="18" s="1"/>
  <c r="D61" i="18"/>
  <c r="D60" i="18"/>
  <c r="D59" i="18"/>
  <c r="D58" i="18"/>
  <c r="D57" i="18"/>
  <c r="D56" i="18"/>
  <c r="D55" i="18"/>
  <c r="D54" i="18"/>
  <c r="D53" i="18"/>
  <c r="D52" i="18"/>
  <c r="D51" i="18"/>
  <c r="D50" i="18"/>
  <c r="D49" i="18"/>
  <c r="D48" i="18"/>
  <c r="D47" i="18"/>
  <c r="D46" i="18"/>
  <c r="D45" i="18"/>
  <c r="D44" i="18"/>
  <c r="D43" i="18"/>
  <c r="D42" i="18"/>
  <c r="D41" i="18"/>
  <c r="D40" i="18"/>
  <c r="D39" i="18"/>
  <c r="D38" i="18"/>
  <c r="D37" i="18"/>
  <c r="D36" i="18"/>
  <c r="D35" i="18"/>
  <c r="D34" i="18"/>
  <c r="D33" i="18"/>
  <c r="D32" i="18"/>
  <c r="D31" i="18"/>
  <c r="D30" i="18"/>
  <c r="D29" i="18"/>
  <c r="D28" i="18"/>
  <c r="D27" i="18"/>
  <c r="D26" i="18"/>
  <c r="D25" i="18"/>
  <c r="D24" i="18"/>
  <c r="D23" i="18"/>
  <c r="D22" i="18"/>
  <c r="D21" i="18"/>
  <c r="D20" i="18"/>
  <c r="D19" i="18"/>
  <c r="D18" i="18"/>
  <c r="D17" i="18"/>
  <c r="D16" i="18"/>
  <c r="D15" i="18"/>
  <c r="D14" i="18"/>
  <c r="D13" i="18"/>
  <c r="D12" i="18"/>
  <c r="D11" i="18"/>
  <c r="D10" i="18"/>
  <c r="D9" i="18"/>
  <c r="D8" i="18"/>
  <c r="D7" i="18"/>
  <c r="D6" i="18"/>
  <c r="D5" i="18"/>
  <c r="D4" i="18"/>
  <c r="D3" i="18"/>
  <c r="D2" i="18"/>
  <c r="G2" i="16"/>
  <c r="E8" i="17"/>
  <c r="E5" i="17"/>
  <c r="E2" i="17"/>
  <c r="F8" i="10"/>
  <c r="B7" i="16"/>
  <c r="G5" i="16"/>
  <c r="B7" i="15"/>
  <c r="F5" i="15"/>
  <c r="F2" i="15"/>
  <c r="B9" i="11"/>
  <c r="B7" i="9"/>
  <c r="F2" i="6"/>
  <c r="F5" i="6"/>
  <c r="B7" i="6"/>
  <c r="B7" i="12"/>
  <c r="F5" i="12"/>
  <c r="F2" i="12"/>
  <c r="B7" i="11"/>
  <c r="H5" i="11"/>
  <c r="H2" i="11"/>
  <c r="F5" i="10"/>
  <c r="F2" i="10"/>
  <c r="F2" i="5"/>
  <c r="F2" i="8"/>
  <c r="B7" i="8"/>
  <c r="F5" i="5"/>
  <c r="B7" i="5"/>
  <c r="F5" i="9" l="1"/>
  <c r="F2" i="9"/>
  <c r="B7" i="4"/>
  <c r="F5" i="4" l="1"/>
  <c r="F2" i="4"/>
  <c r="I6" i="3"/>
  <c r="I3" i="3"/>
  <c r="J8" i="1"/>
  <c r="I4" i="2"/>
  <c r="J2" i="2"/>
  <c r="K2" i="1"/>
  <c r="D2" i="3"/>
  <c r="F2" i="3" a="1"/>
  <c r="F2" i="3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2" i="2"/>
  <c r="F2" i="2" a="1"/>
  <c r="F2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E2" i="1"/>
  <c r="G2" i="1" a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J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<sst xmlns="http://schemas.openxmlformats.org/spreadsheetml/2006/main" count="213" uniqueCount="129">
  <si>
    <t>x</t>
  </si>
  <si>
    <t>Expected Profit</t>
  </si>
  <si>
    <t>p</t>
  </si>
  <si>
    <t>Percentile</t>
  </si>
  <si>
    <t>Coffee Cost</t>
  </si>
  <si>
    <t>Profit</t>
  </si>
  <si>
    <t>Value Data</t>
  </si>
  <si>
    <t>Sim Data</t>
  </si>
  <si>
    <t>Coffee Price</t>
  </si>
  <si>
    <t xml:space="preserve">Average Cost </t>
  </si>
  <si>
    <t>Cost</t>
  </si>
  <si>
    <t>Data Value</t>
  </si>
  <si>
    <t>Fuel Cost</t>
  </si>
  <si>
    <t>Nurse Hours</t>
  </si>
  <si>
    <t>Nurse Time/Patient</t>
  </si>
  <si>
    <t>Questions</t>
  </si>
  <si>
    <t>1.)</t>
  </si>
  <si>
    <t>2.)</t>
  </si>
  <si>
    <t>3.)</t>
  </si>
  <si>
    <t>P(p&lt;1)</t>
  </si>
  <si>
    <t>(p&lt;100)</t>
  </si>
  <si>
    <t>P(p&gt;40)</t>
  </si>
  <si>
    <t>Tables</t>
  </si>
  <si>
    <t>Chairs</t>
  </si>
  <si>
    <t>Finishing Hours for T</t>
  </si>
  <si>
    <t>Carpentry Hours for T</t>
  </si>
  <si>
    <t>Carpentry Hours for C</t>
  </si>
  <si>
    <t>Profit from T</t>
  </si>
  <si>
    <t>Profit from C</t>
  </si>
  <si>
    <t>Finishing Hours for C</t>
  </si>
  <si>
    <t>Total Carpetry Hours</t>
  </si>
  <si>
    <t>Max Carpentry Hours</t>
  </si>
  <si>
    <t>Total Finishing Hours</t>
  </si>
  <si>
    <t>Max Finishing Hours</t>
  </si>
  <si>
    <t>Total Profit</t>
  </si>
  <si>
    <t>Small</t>
  </si>
  <si>
    <t>Large</t>
  </si>
  <si>
    <t>Rev Small</t>
  </si>
  <si>
    <t>Rev Large</t>
  </si>
  <si>
    <t>Cooks Small</t>
  </si>
  <si>
    <t>Cooks Large</t>
  </si>
  <si>
    <t>Max Cooks</t>
  </si>
  <si>
    <t>Total Cooks</t>
  </si>
  <si>
    <t>Servers Small</t>
  </si>
  <si>
    <t>Severs Large</t>
  </si>
  <si>
    <t>Total Servers</t>
  </si>
  <si>
    <t>Max Servers</t>
  </si>
  <si>
    <t>Max Rev</t>
  </si>
  <si>
    <t>Mags</t>
  </si>
  <si>
    <t>Brochures</t>
  </si>
  <si>
    <t>Press A Mags</t>
  </si>
  <si>
    <t>Profit Mags</t>
  </si>
  <si>
    <t>Profit Brochures</t>
  </si>
  <si>
    <t>Press B Mags</t>
  </si>
  <si>
    <t>Press B Brochures</t>
  </si>
  <si>
    <t>Press A Brochures</t>
  </si>
  <si>
    <t>Total A Hours</t>
  </si>
  <si>
    <t>Max A Hours</t>
  </si>
  <si>
    <t>Total B Hours</t>
  </si>
  <si>
    <t>Max B Hours</t>
  </si>
  <si>
    <t>Brochures Y/N</t>
  </si>
  <si>
    <t>Boxes</t>
  </si>
  <si>
    <t>Crates</t>
  </si>
  <si>
    <t>Boxes Space</t>
  </si>
  <si>
    <t>Crates Spaces</t>
  </si>
  <si>
    <t>Total Space</t>
  </si>
  <si>
    <t>Max Space</t>
  </si>
  <si>
    <t>Box Profit</t>
  </si>
  <si>
    <t>Crate Profit</t>
  </si>
  <si>
    <t>X</t>
  </si>
  <si>
    <t>Y</t>
  </si>
  <si>
    <t>X Energy</t>
  </si>
  <si>
    <t>Y Energy</t>
  </si>
  <si>
    <t>Total Energy</t>
  </si>
  <si>
    <t>Max Energy</t>
  </si>
  <si>
    <t>Online</t>
  </si>
  <si>
    <t>Print</t>
  </si>
  <si>
    <t>Cost per Online</t>
  </si>
  <si>
    <t>Cost per Print</t>
  </si>
  <si>
    <t>Total Cost</t>
  </si>
  <si>
    <t>Max Budget</t>
  </si>
  <si>
    <t>Total Reach</t>
  </si>
  <si>
    <t>Min Reach</t>
  </si>
  <si>
    <t>Print Reach</t>
  </si>
  <si>
    <t>Online Reach</t>
  </si>
  <si>
    <t>Corn</t>
  </si>
  <si>
    <t>Wheat</t>
  </si>
  <si>
    <t>Soy</t>
  </si>
  <si>
    <t>Corn Acre</t>
  </si>
  <si>
    <t>Wheat Acre</t>
  </si>
  <si>
    <t>Soy Acre</t>
  </si>
  <si>
    <t>Total Acre</t>
  </si>
  <si>
    <t>Max Acre</t>
  </si>
  <si>
    <t>Corn Water</t>
  </si>
  <si>
    <t>Wheat Water</t>
  </si>
  <si>
    <t>Soy Water</t>
  </si>
  <si>
    <t>Total Water</t>
  </si>
  <si>
    <t>Max Water</t>
  </si>
  <si>
    <t>Corn Profit</t>
  </si>
  <si>
    <t>Wheat Profit</t>
  </si>
  <si>
    <t>Soy Profit</t>
  </si>
  <si>
    <t>Develop</t>
  </si>
  <si>
    <t>Designs</t>
  </si>
  <si>
    <t>Develop Desk</t>
  </si>
  <si>
    <t>Design Desk</t>
  </si>
  <si>
    <t>Total Desk</t>
  </si>
  <si>
    <t>Max Desk</t>
  </si>
  <si>
    <t>Develop Monitors</t>
  </si>
  <si>
    <t>Design Monitors</t>
  </si>
  <si>
    <t>Total Monitors</t>
  </si>
  <si>
    <t>Max Monitors</t>
  </si>
  <si>
    <t>Total Workers</t>
  </si>
  <si>
    <t>Crates of 5</t>
  </si>
  <si>
    <t>X of 5</t>
  </si>
  <si>
    <t>Binary</t>
  </si>
  <si>
    <t>Soy/Wheat Total</t>
  </si>
  <si>
    <t>Machine hours X</t>
  </si>
  <si>
    <t>Machine Hours Y</t>
  </si>
  <si>
    <t>Total Machine Hours</t>
  </si>
  <si>
    <t>Max Hours</t>
  </si>
  <si>
    <t>Online Leads</t>
  </si>
  <si>
    <t>Print Leads</t>
  </si>
  <si>
    <t>Total Leads</t>
  </si>
  <si>
    <t>p&gt;160</t>
  </si>
  <si>
    <t>Nurse Hours Values</t>
  </si>
  <si>
    <t>Boxes Labor</t>
  </si>
  <si>
    <t>Creates Labor</t>
  </si>
  <si>
    <t>Total Labor</t>
  </si>
  <si>
    <t>Max Labor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</si>
</sst>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right"/>
    </xf>
    <xf numFmtId="44" fontId="0" fillId="0" borderId="0" xfId="1" applyFont="1"/>
    <xf numFmtId="0" fontId="0" fillId="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9FD3-BA9B-445D-A433-0527F3607C5A}">
  <dimension ref="A1:K101"/>
  <sheetViews>
    <sheetView workbookViewId="0">
      <selection activeCell="J8" sqref="J8"/>
    </sheetView>
  </sheetViews>
  <sheetFormatPr defaultRowHeight="15" x14ac:dyDescent="0.25"/>
  <cols>
    <col min="1" max="1" width="12.42578125" bestFit="1" customWidth="1"/>
    <col min="6" max="6" width="10.5703125" bestFit="1" customWidth="1"/>
    <col min="9" max="9" width="28.42578125" customWidth="1"/>
    <col min="10" max="10" width="14.7109375" bestFit="1" customWidth="1"/>
  </cols>
  <sheetData>
    <row r="1" spans="1:11" x14ac:dyDescent="0.25">
      <c r="A1" t="s">
        <v>8</v>
      </c>
      <c r="B1">
        <v>5</v>
      </c>
      <c r="E1" t="s">
        <v>7</v>
      </c>
      <c r="F1" t="s">
        <v>6</v>
      </c>
      <c r="G1" t="s">
        <v>5</v>
      </c>
      <c r="I1" s="2" t="s">
        <v>15</v>
      </c>
    </row>
    <row r="2" spans="1:11" x14ac:dyDescent="0.25">
      <c r="A2" t="s">
        <v>4</v>
      </c>
      <c r="B2">
        <v>2</v>
      </c>
      <c r="E2">
        <f t="shared" ref="E2:E33" ca="1" si="0">MAX(ROUND(_xlfn.NORM.INV(RAND(),50,12),0))</f>
        <v>68</v>
      </c>
      <c r="F2">
        <v>40</v>
      </c>
      <c r="G2" cm="1">
        <f t="array" ref="G2:G101">(B1-B2) * F2:F101</f>
        <v>120</v>
      </c>
      <c r="I2" s="2" t="s">
        <v>16</v>
      </c>
      <c r="J2" t="s">
        <v>1</v>
      </c>
      <c r="K2">
        <f>(B1-B2) *50</f>
        <v>150</v>
      </c>
    </row>
    <row r="3" spans="1:11" x14ac:dyDescent="0.25">
      <c r="E3">
        <f t="shared" ca="1" si="0"/>
        <v>50</v>
      </c>
      <c r="F3">
        <v>64</v>
      </c>
      <c r="G3">
        <v>192</v>
      </c>
    </row>
    <row r="4" spans="1:11" x14ac:dyDescent="0.25">
      <c r="E4">
        <f t="shared" ca="1" si="0"/>
        <v>73</v>
      </c>
      <c r="F4">
        <v>48</v>
      </c>
      <c r="G4">
        <v>144</v>
      </c>
      <c r="I4" s="2" t="s">
        <v>17</v>
      </c>
      <c r="J4" t="s">
        <v>19</v>
      </c>
      <c r="K4" t="s">
        <v>0</v>
      </c>
    </row>
    <row r="5" spans="1:11" x14ac:dyDescent="0.25">
      <c r="E5">
        <f t="shared" ca="1" si="0"/>
        <v>51</v>
      </c>
      <c r="F5">
        <v>51</v>
      </c>
      <c r="G5">
        <v>153</v>
      </c>
      <c r="J5">
        <f>COUNTIF(G2:G101,"&lt;"&amp;K5)/ROWS(G2:G101)</f>
        <v>0</v>
      </c>
      <c r="K5">
        <v>1</v>
      </c>
    </row>
    <row r="6" spans="1:11" x14ac:dyDescent="0.25">
      <c r="E6">
        <f t="shared" ca="1" si="0"/>
        <v>50</v>
      </c>
      <c r="F6">
        <v>55</v>
      </c>
      <c r="G6">
        <v>165</v>
      </c>
    </row>
    <row r="7" spans="1:11" x14ac:dyDescent="0.25">
      <c r="E7">
        <f t="shared" ca="1" si="0"/>
        <v>31</v>
      </c>
      <c r="F7">
        <v>46</v>
      </c>
      <c r="G7">
        <v>138</v>
      </c>
      <c r="I7" s="2" t="s">
        <v>18</v>
      </c>
      <c r="J7" t="s">
        <v>20</v>
      </c>
      <c r="K7" t="s">
        <v>0</v>
      </c>
    </row>
    <row r="8" spans="1:11" x14ac:dyDescent="0.25">
      <c r="E8">
        <f t="shared" ca="1" si="0"/>
        <v>36</v>
      </c>
      <c r="F8">
        <v>54</v>
      </c>
      <c r="G8">
        <v>162</v>
      </c>
      <c r="J8">
        <f>COUNTIF(G2:G101,"&lt;"&amp;K8)/ROWS(G2:G101)</f>
        <v>7.0000000000000007E-2</v>
      </c>
      <c r="K8">
        <v>100</v>
      </c>
    </row>
    <row r="9" spans="1:11" x14ac:dyDescent="0.25">
      <c r="E9">
        <f t="shared" ca="1" si="0"/>
        <v>67</v>
      </c>
      <c r="F9">
        <v>38</v>
      </c>
      <c r="G9">
        <v>114</v>
      </c>
    </row>
    <row r="10" spans="1:11" x14ac:dyDescent="0.25">
      <c r="E10">
        <f t="shared" ca="1" si="0"/>
        <v>55</v>
      </c>
      <c r="F10">
        <v>45</v>
      </c>
      <c r="G10">
        <v>135</v>
      </c>
    </row>
    <row r="11" spans="1:11" x14ac:dyDescent="0.25">
      <c r="E11">
        <f t="shared" ca="1" si="0"/>
        <v>63</v>
      </c>
      <c r="F11">
        <v>38</v>
      </c>
      <c r="G11">
        <v>114</v>
      </c>
    </row>
    <row r="12" spans="1:11" x14ac:dyDescent="0.25">
      <c r="E12">
        <f t="shared" ca="1" si="0"/>
        <v>36</v>
      </c>
      <c r="F12">
        <v>70</v>
      </c>
      <c r="G12">
        <v>210</v>
      </c>
    </row>
    <row r="13" spans="1:11" x14ac:dyDescent="0.25">
      <c r="E13">
        <f t="shared" ca="1" si="0"/>
        <v>59</v>
      </c>
      <c r="F13">
        <v>41</v>
      </c>
      <c r="G13">
        <v>123</v>
      </c>
    </row>
    <row r="14" spans="1:11" x14ac:dyDescent="0.25">
      <c r="E14">
        <f t="shared" ca="1" si="0"/>
        <v>37</v>
      </c>
      <c r="F14">
        <v>43</v>
      </c>
      <c r="G14">
        <v>129</v>
      </c>
    </row>
    <row r="15" spans="1:11" x14ac:dyDescent="0.25">
      <c r="E15">
        <f t="shared" ca="1" si="0"/>
        <v>71</v>
      </c>
      <c r="F15">
        <v>44</v>
      </c>
      <c r="G15">
        <v>132</v>
      </c>
    </row>
    <row r="16" spans="1:11" x14ac:dyDescent="0.25">
      <c r="E16">
        <f t="shared" ca="1" si="0"/>
        <v>45</v>
      </c>
      <c r="F16">
        <v>34</v>
      </c>
      <c r="G16">
        <v>102</v>
      </c>
    </row>
    <row r="17" spans="5:7" x14ac:dyDescent="0.25">
      <c r="E17">
        <f t="shared" ca="1" si="0"/>
        <v>52</v>
      </c>
      <c r="F17">
        <v>41</v>
      </c>
      <c r="G17">
        <v>123</v>
      </c>
    </row>
    <row r="18" spans="5:7" x14ac:dyDescent="0.25">
      <c r="E18">
        <f t="shared" ca="1" si="0"/>
        <v>39</v>
      </c>
      <c r="F18">
        <v>61</v>
      </c>
      <c r="G18">
        <v>183</v>
      </c>
    </row>
    <row r="19" spans="5:7" x14ac:dyDescent="0.25">
      <c r="E19">
        <f t="shared" ca="1" si="0"/>
        <v>45</v>
      </c>
      <c r="F19">
        <v>44</v>
      </c>
      <c r="G19">
        <v>132</v>
      </c>
    </row>
    <row r="20" spans="5:7" x14ac:dyDescent="0.25">
      <c r="E20">
        <f t="shared" ca="1" si="0"/>
        <v>53</v>
      </c>
      <c r="F20">
        <v>46</v>
      </c>
      <c r="G20">
        <v>138</v>
      </c>
    </row>
    <row r="21" spans="5:7" x14ac:dyDescent="0.25">
      <c r="E21">
        <f t="shared" ca="1" si="0"/>
        <v>30</v>
      </c>
      <c r="F21">
        <v>51</v>
      </c>
      <c r="G21">
        <v>153</v>
      </c>
    </row>
    <row r="22" spans="5:7" x14ac:dyDescent="0.25">
      <c r="E22">
        <f t="shared" ca="1" si="0"/>
        <v>40</v>
      </c>
      <c r="F22">
        <v>62</v>
      </c>
      <c r="G22">
        <v>186</v>
      </c>
    </row>
    <row r="23" spans="5:7" x14ac:dyDescent="0.25">
      <c r="E23">
        <f t="shared" ca="1" si="0"/>
        <v>57</v>
      </c>
      <c r="F23">
        <v>52</v>
      </c>
      <c r="G23">
        <v>156</v>
      </c>
    </row>
    <row r="24" spans="5:7" x14ac:dyDescent="0.25">
      <c r="E24">
        <f t="shared" ca="1" si="0"/>
        <v>51</v>
      </c>
      <c r="F24">
        <v>53</v>
      </c>
      <c r="G24">
        <v>159</v>
      </c>
    </row>
    <row r="25" spans="5:7" x14ac:dyDescent="0.25">
      <c r="E25">
        <f t="shared" ca="1" si="0"/>
        <v>50</v>
      </c>
      <c r="F25">
        <v>34</v>
      </c>
      <c r="G25">
        <v>102</v>
      </c>
    </row>
    <row r="26" spans="5:7" x14ac:dyDescent="0.25">
      <c r="E26">
        <f t="shared" ca="1" si="0"/>
        <v>45</v>
      </c>
      <c r="F26">
        <v>50</v>
      </c>
      <c r="G26">
        <v>150</v>
      </c>
    </row>
    <row r="27" spans="5:7" x14ac:dyDescent="0.25">
      <c r="E27">
        <f t="shared" ca="1" si="0"/>
        <v>68</v>
      </c>
      <c r="F27">
        <v>75</v>
      </c>
      <c r="G27">
        <v>225</v>
      </c>
    </row>
    <row r="28" spans="5:7" x14ac:dyDescent="0.25">
      <c r="E28">
        <f t="shared" ca="1" si="0"/>
        <v>48</v>
      </c>
      <c r="F28">
        <v>58</v>
      </c>
      <c r="G28">
        <v>174</v>
      </c>
    </row>
    <row r="29" spans="5:7" x14ac:dyDescent="0.25">
      <c r="E29">
        <f t="shared" ca="1" si="0"/>
        <v>41</v>
      </c>
      <c r="F29">
        <v>51</v>
      </c>
      <c r="G29">
        <v>153</v>
      </c>
    </row>
    <row r="30" spans="5:7" x14ac:dyDescent="0.25">
      <c r="E30">
        <f t="shared" ca="1" si="0"/>
        <v>57</v>
      </c>
      <c r="F30">
        <v>76</v>
      </c>
      <c r="G30">
        <v>228</v>
      </c>
    </row>
    <row r="31" spans="5:7" x14ac:dyDescent="0.25">
      <c r="E31">
        <f t="shared" ca="1" si="0"/>
        <v>63</v>
      </c>
      <c r="F31">
        <v>51</v>
      </c>
      <c r="G31">
        <v>153</v>
      </c>
    </row>
    <row r="32" spans="5:7" x14ac:dyDescent="0.25">
      <c r="E32">
        <f t="shared" ca="1" si="0"/>
        <v>60</v>
      </c>
      <c r="F32">
        <v>33</v>
      </c>
      <c r="G32">
        <v>99</v>
      </c>
    </row>
    <row r="33" spans="5:7" x14ac:dyDescent="0.25">
      <c r="E33">
        <f t="shared" ca="1" si="0"/>
        <v>65</v>
      </c>
      <c r="F33">
        <v>42</v>
      </c>
      <c r="G33">
        <v>126</v>
      </c>
    </row>
    <row r="34" spans="5:7" x14ac:dyDescent="0.25">
      <c r="E34">
        <f t="shared" ref="E34:E65" ca="1" si="1">MAX(ROUND(_xlfn.NORM.INV(RAND(),50,12),0))</f>
        <v>68</v>
      </c>
      <c r="F34">
        <v>63</v>
      </c>
      <c r="G34">
        <v>189</v>
      </c>
    </row>
    <row r="35" spans="5:7" x14ac:dyDescent="0.25">
      <c r="E35">
        <f t="shared" ca="1" si="1"/>
        <v>50</v>
      </c>
      <c r="F35">
        <v>61</v>
      </c>
      <c r="G35">
        <v>183</v>
      </c>
    </row>
    <row r="36" spans="5:7" x14ac:dyDescent="0.25">
      <c r="E36">
        <f t="shared" ca="1" si="1"/>
        <v>25</v>
      </c>
      <c r="F36">
        <v>44</v>
      </c>
      <c r="G36">
        <v>132</v>
      </c>
    </row>
    <row r="37" spans="5:7" x14ac:dyDescent="0.25">
      <c r="E37">
        <f t="shared" ca="1" si="1"/>
        <v>45</v>
      </c>
      <c r="F37">
        <v>35</v>
      </c>
      <c r="G37">
        <v>105</v>
      </c>
    </row>
    <row r="38" spans="5:7" x14ac:dyDescent="0.25">
      <c r="E38">
        <f t="shared" ca="1" si="1"/>
        <v>50</v>
      </c>
      <c r="F38">
        <v>54</v>
      </c>
      <c r="G38">
        <v>162</v>
      </c>
    </row>
    <row r="39" spans="5:7" x14ac:dyDescent="0.25">
      <c r="E39">
        <f t="shared" ca="1" si="1"/>
        <v>72</v>
      </c>
      <c r="F39">
        <v>23</v>
      </c>
      <c r="G39">
        <v>69</v>
      </c>
    </row>
    <row r="40" spans="5:7" x14ac:dyDescent="0.25">
      <c r="E40">
        <f t="shared" ca="1" si="1"/>
        <v>45</v>
      </c>
      <c r="F40">
        <v>45</v>
      </c>
      <c r="G40">
        <v>135</v>
      </c>
    </row>
    <row r="41" spans="5:7" x14ac:dyDescent="0.25">
      <c r="E41">
        <f t="shared" ca="1" si="1"/>
        <v>38</v>
      </c>
      <c r="F41">
        <v>34</v>
      </c>
      <c r="G41">
        <v>102</v>
      </c>
    </row>
    <row r="42" spans="5:7" x14ac:dyDescent="0.25">
      <c r="E42">
        <f t="shared" ca="1" si="1"/>
        <v>57</v>
      </c>
      <c r="F42">
        <v>54</v>
      </c>
      <c r="G42">
        <v>162</v>
      </c>
    </row>
    <row r="43" spans="5:7" x14ac:dyDescent="0.25">
      <c r="E43">
        <f t="shared" ca="1" si="1"/>
        <v>56</v>
      </c>
      <c r="F43">
        <v>34</v>
      </c>
      <c r="G43">
        <v>102</v>
      </c>
    </row>
    <row r="44" spans="5:7" x14ac:dyDescent="0.25">
      <c r="E44">
        <f t="shared" ca="1" si="1"/>
        <v>57</v>
      </c>
      <c r="F44">
        <v>50</v>
      </c>
      <c r="G44">
        <v>150</v>
      </c>
    </row>
    <row r="45" spans="5:7" x14ac:dyDescent="0.25">
      <c r="E45">
        <f t="shared" ca="1" si="1"/>
        <v>62</v>
      </c>
      <c r="F45">
        <v>31</v>
      </c>
      <c r="G45">
        <v>93</v>
      </c>
    </row>
    <row r="46" spans="5:7" x14ac:dyDescent="0.25">
      <c r="E46">
        <f t="shared" ca="1" si="1"/>
        <v>60</v>
      </c>
      <c r="F46">
        <v>51</v>
      </c>
      <c r="G46">
        <v>153</v>
      </c>
    </row>
    <row r="47" spans="5:7" x14ac:dyDescent="0.25">
      <c r="E47">
        <f t="shared" ca="1" si="1"/>
        <v>38</v>
      </c>
      <c r="F47">
        <v>60</v>
      </c>
      <c r="G47">
        <v>180</v>
      </c>
    </row>
    <row r="48" spans="5:7" x14ac:dyDescent="0.25">
      <c r="E48">
        <f t="shared" ca="1" si="1"/>
        <v>52</v>
      </c>
      <c r="F48">
        <v>50</v>
      </c>
      <c r="G48">
        <v>150</v>
      </c>
    </row>
    <row r="49" spans="5:7" x14ac:dyDescent="0.25">
      <c r="E49">
        <f t="shared" ca="1" si="1"/>
        <v>25</v>
      </c>
      <c r="F49">
        <v>35</v>
      </c>
      <c r="G49">
        <v>105</v>
      </c>
    </row>
    <row r="50" spans="5:7" x14ac:dyDescent="0.25">
      <c r="E50">
        <f t="shared" ca="1" si="1"/>
        <v>36</v>
      </c>
      <c r="F50">
        <v>44</v>
      </c>
      <c r="G50">
        <v>132</v>
      </c>
    </row>
    <row r="51" spans="5:7" x14ac:dyDescent="0.25">
      <c r="E51">
        <f t="shared" ca="1" si="1"/>
        <v>47</v>
      </c>
      <c r="F51">
        <v>56</v>
      </c>
      <c r="G51">
        <v>168</v>
      </c>
    </row>
    <row r="52" spans="5:7" x14ac:dyDescent="0.25">
      <c r="E52">
        <f t="shared" ca="1" si="1"/>
        <v>65</v>
      </c>
      <c r="F52">
        <v>36</v>
      </c>
      <c r="G52">
        <v>108</v>
      </c>
    </row>
    <row r="53" spans="5:7" x14ac:dyDescent="0.25">
      <c r="E53">
        <f t="shared" ca="1" si="1"/>
        <v>47</v>
      </c>
      <c r="F53">
        <v>57</v>
      </c>
      <c r="G53">
        <v>171</v>
      </c>
    </row>
    <row r="54" spans="5:7" x14ac:dyDescent="0.25">
      <c r="E54">
        <f t="shared" ca="1" si="1"/>
        <v>41</v>
      </c>
      <c r="F54">
        <v>36</v>
      </c>
      <c r="G54">
        <v>108</v>
      </c>
    </row>
    <row r="55" spans="5:7" x14ac:dyDescent="0.25">
      <c r="E55">
        <f t="shared" ca="1" si="1"/>
        <v>49</v>
      </c>
      <c r="F55">
        <v>47</v>
      </c>
      <c r="G55">
        <v>141</v>
      </c>
    </row>
    <row r="56" spans="5:7" x14ac:dyDescent="0.25">
      <c r="E56">
        <f t="shared" ca="1" si="1"/>
        <v>65</v>
      </c>
      <c r="F56">
        <v>48</v>
      </c>
      <c r="G56">
        <v>144</v>
      </c>
    </row>
    <row r="57" spans="5:7" x14ac:dyDescent="0.25">
      <c r="E57">
        <f t="shared" ca="1" si="1"/>
        <v>57</v>
      </c>
      <c r="F57">
        <v>53</v>
      </c>
      <c r="G57">
        <v>159</v>
      </c>
    </row>
    <row r="58" spans="5:7" x14ac:dyDescent="0.25">
      <c r="E58">
        <f t="shared" ca="1" si="1"/>
        <v>55</v>
      </c>
      <c r="F58">
        <v>27</v>
      </c>
      <c r="G58">
        <v>81</v>
      </c>
    </row>
    <row r="59" spans="5:7" x14ac:dyDescent="0.25">
      <c r="E59">
        <f t="shared" ca="1" si="1"/>
        <v>36</v>
      </c>
      <c r="F59">
        <v>39</v>
      </c>
      <c r="G59">
        <v>117</v>
      </c>
    </row>
    <row r="60" spans="5:7" x14ac:dyDescent="0.25">
      <c r="E60">
        <f t="shared" ca="1" si="1"/>
        <v>37</v>
      </c>
      <c r="F60">
        <v>44</v>
      </c>
      <c r="G60">
        <v>132</v>
      </c>
    </row>
    <row r="61" spans="5:7" x14ac:dyDescent="0.25">
      <c r="E61">
        <f t="shared" ca="1" si="1"/>
        <v>63</v>
      </c>
      <c r="F61">
        <v>38</v>
      </c>
      <c r="G61">
        <v>114</v>
      </c>
    </row>
    <row r="62" spans="5:7" x14ac:dyDescent="0.25">
      <c r="E62">
        <f t="shared" ca="1" si="1"/>
        <v>72</v>
      </c>
      <c r="F62">
        <v>56</v>
      </c>
      <c r="G62">
        <v>168</v>
      </c>
    </row>
    <row r="63" spans="5:7" x14ac:dyDescent="0.25">
      <c r="E63">
        <f t="shared" ca="1" si="1"/>
        <v>44</v>
      </c>
      <c r="F63">
        <v>55</v>
      </c>
      <c r="G63">
        <v>165</v>
      </c>
    </row>
    <row r="64" spans="5:7" x14ac:dyDescent="0.25">
      <c r="E64">
        <f t="shared" ca="1" si="1"/>
        <v>53</v>
      </c>
      <c r="F64">
        <v>50</v>
      </c>
      <c r="G64">
        <v>150</v>
      </c>
    </row>
    <row r="65" spans="5:7" x14ac:dyDescent="0.25">
      <c r="E65">
        <f t="shared" ca="1" si="1"/>
        <v>42</v>
      </c>
      <c r="F65">
        <v>57</v>
      </c>
      <c r="G65">
        <v>171</v>
      </c>
    </row>
    <row r="66" spans="5:7" x14ac:dyDescent="0.25">
      <c r="E66">
        <f t="shared" ref="E66:E101" ca="1" si="2">MAX(ROUND(_xlfn.NORM.INV(RAND(),50,12),0))</f>
        <v>55</v>
      </c>
      <c r="F66">
        <v>57</v>
      </c>
      <c r="G66">
        <v>171</v>
      </c>
    </row>
    <row r="67" spans="5:7" x14ac:dyDescent="0.25">
      <c r="E67">
        <f t="shared" ca="1" si="2"/>
        <v>39</v>
      </c>
      <c r="F67">
        <v>38</v>
      </c>
      <c r="G67">
        <v>114</v>
      </c>
    </row>
    <row r="68" spans="5:7" x14ac:dyDescent="0.25">
      <c r="E68">
        <f t="shared" ca="1" si="2"/>
        <v>22</v>
      </c>
      <c r="F68">
        <v>54</v>
      </c>
      <c r="G68">
        <v>162</v>
      </c>
    </row>
    <row r="69" spans="5:7" x14ac:dyDescent="0.25">
      <c r="E69">
        <f t="shared" ca="1" si="2"/>
        <v>31</v>
      </c>
      <c r="F69">
        <v>56</v>
      </c>
      <c r="G69">
        <v>168</v>
      </c>
    </row>
    <row r="70" spans="5:7" x14ac:dyDescent="0.25">
      <c r="E70">
        <f t="shared" ca="1" si="2"/>
        <v>51</v>
      </c>
      <c r="F70">
        <v>45</v>
      </c>
      <c r="G70">
        <v>135</v>
      </c>
    </row>
    <row r="71" spans="5:7" x14ac:dyDescent="0.25">
      <c r="E71">
        <f t="shared" ca="1" si="2"/>
        <v>33</v>
      </c>
      <c r="F71">
        <v>48</v>
      </c>
      <c r="G71">
        <v>144</v>
      </c>
    </row>
    <row r="72" spans="5:7" x14ac:dyDescent="0.25">
      <c r="E72">
        <f t="shared" ca="1" si="2"/>
        <v>59</v>
      </c>
      <c r="F72">
        <v>76</v>
      </c>
      <c r="G72">
        <v>228</v>
      </c>
    </row>
    <row r="73" spans="5:7" x14ac:dyDescent="0.25">
      <c r="E73">
        <f t="shared" ca="1" si="2"/>
        <v>35</v>
      </c>
      <c r="F73">
        <v>49</v>
      </c>
      <c r="G73">
        <v>147</v>
      </c>
    </row>
    <row r="74" spans="5:7" x14ac:dyDescent="0.25">
      <c r="E74">
        <f t="shared" ca="1" si="2"/>
        <v>34</v>
      </c>
      <c r="F74">
        <v>42</v>
      </c>
      <c r="G74">
        <v>126</v>
      </c>
    </row>
    <row r="75" spans="5:7" x14ac:dyDescent="0.25">
      <c r="E75">
        <f t="shared" ca="1" si="2"/>
        <v>65</v>
      </c>
      <c r="F75">
        <v>47</v>
      </c>
      <c r="G75">
        <v>141</v>
      </c>
    </row>
    <row r="76" spans="5:7" x14ac:dyDescent="0.25">
      <c r="E76">
        <f t="shared" ca="1" si="2"/>
        <v>59</v>
      </c>
      <c r="F76">
        <v>40</v>
      </c>
      <c r="G76">
        <v>120</v>
      </c>
    </row>
    <row r="77" spans="5:7" x14ac:dyDescent="0.25">
      <c r="E77">
        <f t="shared" ca="1" si="2"/>
        <v>44</v>
      </c>
      <c r="F77">
        <v>47</v>
      </c>
      <c r="G77">
        <v>141</v>
      </c>
    </row>
    <row r="78" spans="5:7" x14ac:dyDescent="0.25">
      <c r="E78">
        <f t="shared" ca="1" si="2"/>
        <v>59</v>
      </c>
      <c r="F78">
        <v>38</v>
      </c>
      <c r="G78">
        <v>114</v>
      </c>
    </row>
    <row r="79" spans="5:7" x14ac:dyDescent="0.25">
      <c r="E79">
        <f t="shared" ca="1" si="2"/>
        <v>49</v>
      </c>
      <c r="F79">
        <v>68</v>
      </c>
      <c r="G79">
        <v>204</v>
      </c>
    </row>
    <row r="80" spans="5:7" x14ac:dyDescent="0.25">
      <c r="E80">
        <f t="shared" ca="1" si="2"/>
        <v>65</v>
      </c>
      <c r="F80">
        <v>49</v>
      </c>
      <c r="G80">
        <v>147</v>
      </c>
    </row>
    <row r="81" spans="5:7" x14ac:dyDescent="0.25">
      <c r="E81">
        <f t="shared" ca="1" si="2"/>
        <v>40</v>
      </c>
      <c r="F81">
        <v>63</v>
      </c>
      <c r="G81">
        <v>189</v>
      </c>
    </row>
    <row r="82" spans="5:7" x14ac:dyDescent="0.25">
      <c r="E82">
        <f t="shared" ca="1" si="2"/>
        <v>54</v>
      </c>
      <c r="F82">
        <v>57</v>
      </c>
      <c r="G82">
        <v>171</v>
      </c>
    </row>
    <row r="83" spans="5:7" x14ac:dyDescent="0.25">
      <c r="E83">
        <f t="shared" ca="1" si="2"/>
        <v>56</v>
      </c>
      <c r="F83">
        <v>38</v>
      </c>
      <c r="G83">
        <v>114</v>
      </c>
    </row>
    <row r="84" spans="5:7" x14ac:dyDescent="0.25">
      <c r="E84">
        <f t="shared" ca="1" si="2"/>
        <v>38</v>
      </c>
      <c r="F84">
        <v>40</v>
      </c>
      <c r="G84">
        <v>120</v>
      </c>
    </row>
    <row r="85" spans="5:7" x14ac:dyDescent="0.25">
      <c r="E85">
        <f t="shared" ca="1" si="2"/>
        <v>58</v>
      </c>
      <c r="F85">
        <v>34</v>
      </c>
      <c r="G85">
        <v>102</v>
      </c>
    </row>
    <row r="86" spans="5:7" x14ac:dyDescent="0.25">
      <c r="E86">
        <f t="shared" ca="1" si="2"/>
        <v>39</v>
      </c>
      <c r="F86">
        <v>56</v>
      </c>
      <c r="G86">
        <v>168</v>
      </c>
    </row>
    <row r="87" spans="5:7" x14ac:dyDescent="0.25">
      <c r="E87">
        <f t="shared" ca="1" si="2"/>
        <v>43</v>
      </c>
      <c r="F87">
        <v>53</v>
      </c>
      <c r="G87">
        <v>159</v>
      </c>
    </row>
    <row r="88" spans="5:7" x14ac:dyDescent="0.25">
      <c r="E88">
        <f t="shared" ca="1" si="2"/>
        <v>37</v>
      </c>
      <c r="F88">
        <v>41</v>
      </c>
      <c r="G88">
        <v>123</v>
      </c>
    </row>
    <row r="89" spans="5:7" x14ac:dyDescent="0.25">
      <c r="E89">
        <f t="shared" ca="1" si="2"/>
        <v>61</v>
      </c>
      <c r="F89">
        <v>51</v>
      </c>
      <c r="G89">
        <v>153</v>
      </c>
    </row>
    <row r="90" spans="5:7" x14ac:dyDescent="0.25">
      <c r="E90">
        <f t="shared" ca="1" si="2"/>
        <v>21</v>
      </c>
      <c r="F90">
        <v>48</v>
      </c>
      <c r="G90">
        <v>144</v>
      </c>
    </row>
    <row r="91" spans="5:7" x14ac:dyDescent="0.25">
      <c r="E91">
        <f t="shared" ca="1" si="2"/>
        <v>49</v>
      </c>
      <c r="F91">
        <v>53</v>
      </c>
      <c r="G91">
        <v>159</v>
      </c>
    </row>
    <row r="92" spans="5:7" x14ac:dyDescent="0.25">
      <c r="E92">
        <f t="shared" ca="1" si="2"/>
        <v>51</v>
      </c>
      <c r="F92">
        <v>19</v>
      </c>
      <c r="G92">
        <v>57</v>
      </c>
    </row>
    <row r="93" spans="5:7" x14ac:dyDescent="0.25">
      <c r="E93">
        <f t="shared" ca="1" si="2"/>
        <v>49</v>
      </c>
      <c r="F93">
        <v>30</v>
      </c>
      <c r="G93">
        <v>90</v>
      </c>
    </row>
    <row r="94" spans="5:7" x14ac:dyDescent="0.25">
      <c r="E94">
        <f t="shared" ca="1" si="2"/>
        <v>39</v>
      </c>
      <c r="F94">
        <v>69</v>
      </c>
      <c r="G94">
        <v>207</v>
      </c>
    </row>
    <row r="95" spans="5:7" x14ac:dyDescent="0.25">
      <c r="E95">
        <f t="shared" ca="1" si="2"/>
        <v>37</v>
      </c>
      <c r="F95">
        <v>40</v>
      </c>
      <c r="G95">
        <v>120</v>
      </c>
    </row>
    <row r="96" spans="5:7" x14ac:dyDescent="0.25">
      <c r="E96">
        <f t="shared" ca="1" si="2"/>
        <v>57</v>
      </c>
      <c r="F96">
        <v>36</v>
      </c>
      <c r="G96">
        <v>108</v>
      </c>
    </row>
    <row r="97" spans="5:7" x14ac:dyDescent="0.25">
      <c r="E97">
        <f t="shared" ca="1" si="2"/>
        <v>50</v>
      </c>
      <c r="F97">
        <v>57</v>
      </c>
      <c r="G97">
        <v>171</v>
      </c>
    </row>
    <row r="98" spans="5:7" x14ac:dyDescent="0.25">
      <c r="E98">
        <f t="shared" ca="1" si="2"/>
        <v>53</v>
      </c>
      <c r="F98">
        <v>57</v>
      </c>
      <c r="G98">
        <v>171</v>
      </c>
    </row>
    <row r="99" spans="5:7" x14ac:dyDescent="0.25">
      <c r="E99">
        <f t="shared" ca="1" si="2"/>
        <v>35</v>
      </c>
      <c r="F99">
        <v>45</v>
      </c>
      <c r="G99">
        <v>135</v>
      </c>
    </row>
    <row r="100" spans="5:7" x14ac:dyDescent="0.25">
      <c r="E100">
        <f t="shared" ca="1" si="2"/>
        <v>59</v>
      </c>
      <c r="F100">
        <v>57</v>
      </c>
      <c r="G100">
        <v>171</v>
      </c>
    </row>
    <row r="101" spans="5:7" x14ac:dyDescent="0.25">
      <c r="E101">
        <f t="shared" ca="1" si="2"/>
        <v>51</v>
      </c>
      <c r="F101">
        <v>24</v>
      </c>
      <c r="G101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8A62-522B-4707-8469-DD3846E7420B}">
  <dimension ref="A1:J31"/>
  <sheetViews>
    <sheetView workbookViewId="0">
      <selection activeCell="I4" sqref="I4"/>
    </sheetView>
  </sheetViews>
  <sheetFormatPr defaultRowHeight="15" x14ac:dyDescent="0.25"/>
  <cols>
    <col min="5" max="5" width="10.5703125" bestFit="1" customWidth="1"/>
    <col min="8" max="9" width="13.140625" bestFit="1" customWidth="1"/>
  </cols>
  <sheetData>
    <row r="1" spans="1:10" x14ac:dyDescent="0.25">
      <c r="A1" t="s">
        <v>12</v>
      </c>
      <c r="B1">
        <v>4</v>
      </c>
      <c r="D1" t="s">
        <v>7</v>
      </c>
      <c r="E1" t="s">
        <v>11</v>
      </c>
      <c r="F1" t="s">
        <v>10</v>
      </c>
      <c r="H1" s="2" t="s">
        <v>15</v>
      </c>
    </row>
    <row r="2" spans="1:10" x14ac:dyDescent="0.25">
      <c r="D2">
        <f t="shared" ref="D2:D31" ca="1" si="0">MAX(ROUND(_xlfn.NORM.INV(RAND(),8,1.5),0))</f>
        <v>7</v>
      </c>
      <c r="E2">
        <v>5</v>
      </c>
      <c r="F2" cm="1">
        <f t="array" ref="F2:F31">B1*E2:E31</f>
        <v>20</v>
      </c>
      <c r="H2" s="2" t="s">
        <v>16</v>
      </c>
      <c r="I2" t="s">
        <v>9</v>
      </c>
      <c r="J2" s="3">
        <f>AVERAGE(F2:F31)</f>
        <v>32.666666666666664</v>
      </c>
    </row>
    <row r="3" spans="1:10" x14ac:dyDescent="0.25">
      <c r="D3">
        <f t="shared" ca="1" si="0"/>
        <v>8</v>
      </c>
      <c r="E3">
        <v>7</v>
      </c>
      <c r="F3">
        <v>28</v>
      </c>
      <c r="H3" s="2" t="s">
        <v>17</v>
      </c>
      <c r="I3" t="s">
        <v>21</v>
      </c>
      <c r="J3" t="s">
        <v>0</v>
      </c>
    </row>
    <row r="4" spans="1:10" x14ac:dyDescent="0.25">
      <c r="D4">
        <f t="shared" ca="1" si="0"/>
        <v>6</v>
      </c>
      <c r="E4">
        <v>9</v>
      </c>
      <c r="F4">
        <v>36</v>
      </c>
      <c r="I4" s="1">
        <f>COUNTIF(F2:F31,"&gt;"&amp;J4)/ROWS(F2:F31)</f>
        <v>0.1</v>
      </c>
      <c r="J4">
        <v>40</v>
      </c>
    </row>
    <row r="5" spans="1:10" x14ac:dyDescent="0.25">
      <c r="D5">
        <f t="shared" ca="1" si="0"/>
        <v>11</v>
      </c>
      <c r="E5">
        <v>10</v>
      </c>
      <c r="F5">
        <v>40</v>
      </c>
      <c r="H5" s="1"/>
    </row>
    <row r="6" spans="1:10" x14ac:dyDescent="0.25">
      <c r="D6">
        <f t="shared" ca="1" si="0"/>
        <v>10</v>
      </c>
      <c r="E6">
        <v>7</v>
      </c>
      <c r="F6">
        <v>28</v>
      </c>
    </row>
    <row r="7" spans="1:10" x14ac:dyDescent="0.25">
      <c r="D7">
        <f t="shared" ca="1" si="0"/>
        <v>8</v>
      </c>
      <c r="E7">
        <v>6</v>
      </c>
      <c r="F7">
        <v>24</v>
      </c>
    </row>
    <row r="8" spans="1:10" x14ac:dyDescent="0.25">
      <c r="D8">
        <f t="shared" ca="1" si="0"/>
        <v>7</v>
      </c>
      <c r="E8">
        <v>8</v>
      </c>
      <c r="F8">
        <v>32</v>
      </c>
    </row>
    <row r="9" spans="1:10" x14ac:dyDescent="0.25">
      <c r="D9">
        <f t="shared" ca="1" si="0"/>
        <v>5</v>
      </c>
      <c r="E9">
        <v>6</v>
      </c>
      <c r="F9">
        <v>24</v>
      </c>
    </row>
    <row r="10" spans="1:10" x14ac:dyDescent="0.25">
      <c r="D10">
        <f t="shared" ca="1" si="0"/>
        <v>8</v>
      </c>
      <c r="E10">
        <v>8</v>
      </c>
      <c r="F10">
        <v>32</v>
      </c>
    </row>
    <row r="11" spans="1:10" x14ac:dyDescent="0.25">
      <c r="D11">
        <f t="shared" ca="1" si="0"/>
        <v>10</v>
      </c>
      <c r="E11">
        <v>9</v>
      </c>
      <c r="F11">
        <v>36</v>
      </c>
    </row>
    <row r="12" spans="1:10" x14ac:dyDescent="0.25">
      <c r="D12">
        <f t="shared" ca="1" si="0"/>
        <v>10</v>
      </c>
      <c r="E12">
        <v>8</v>
      </c>
      <c r="F12">
        <v>32</v>
      </c>
    </row>
    <row r="13" spans="1:10" x14ac:dyDescent="0.25">
      <c r="D13">
        <f t="shared" ca="1" si="0"/>
        <v>12</v>
      </c>
      <c r="E13">
        <v>11</v>
      </c>
      <c r="F13">
        <v>44</v>
      </c>
    </row>
    <row r="14" spans="1:10" x14ac:dyDescent="0.25">
      <c r="D14">
        <f t="shared" ca="1" si="0"/>
        <v>10</v>
      </c>
      <c r="E14">
        <v>9</v>
      </c>
      <c r="F14">
        <v>36</v>
      </c>
    </row>
    <row r="15" spans="1:10" x14ac:dyDescent="0.25">
      <c r="D15">
        <f t="shared" ca="1" si="0"/>
        <v>8</v>
      </c>
      <c r="E15">
        <v>9</v>
      </c>
      <c r="F15">
        <v>36</v>
      </c>
    </row>
    <row r="16" spans="1:10" x14ac:dyDescent="0.25">
      <c r="D16">
        <f t="shared" ca="1" si="0"/>
        <v>6</v>
      </c>
      <c r="E16">
        <v>11</v>
      </c>
      <c r="F16">
        <v>44</v>
      </c>
    </row>
    <row r="17" spans="4:6" x14ac:dyDescent="0.25">
      <c r="D17">
        <f t="shared" ca="1" si="0"/>
        <v>8</v>
      </c>
      <c r="E17">
        <v>10</v>
      </c>
      <c r="F17">
        <v>40</v>
      </c>
    </row>
    <row r="18" spans="4:6" x14ac:dyDescent="0.25">
      <c r="D18">
        <f t="shared" ca="1" si="0"/>
        <v>8</v>
      </c>
      <c r="E18">
        <v>7</v>
      </c>
      <c r="F18">
        <v>28</v>
      </c>
    </row>
    <row r="19" spans="4:6" x14ac:dyDescent="0.25">
      <c r="D19">
        <f t="shared" ca="1" si="0"/>
        <v>8</v>
      </c>
      <c r="E19">
        <v>7</v>
      </c>
      <c r="F19">
        <v>28</v>
      </c>
    </row>
    <row r="20" spans="4:6" x14ac:dyDescent="0.25">
      <c r="D20">
        <f t="shared" ca="1" si="0"/>
        <v>5</v>
      </c>
      <c r="E20">
        <v>8</v>
      </c>
      <c r="F20">
        <v>32</v>
      </c>
    </row>
    <row r="21" spans="4:6" x14ac:dyDescent="0.25">
      <c r="D21">
        <f t="shared" ca="1" si="0"/>
        <v>9</v>
      </c>
      <c r="E21">
        <v>8</v>
      </c>
      <c r="F21">
        <v>32</v>
      </c>
    </row>
    <row r="22" spans="4:6" x14ac:dyDescent="0.25">
      <c r="D22">
        <f t="shared" ca="1" si="0"/>
        <v>8</v>
      </c>
      <c r="E22">
        <v>8</v>
      </c>
      <c r="F22">
        <v>32</v>
      </c>
    </row>
    <row r="23" spans="4:6" x14ac:dyDescent="0.25">
      <c r="D23">
        <f t="shared" ca="1" si="0"/>
        <v>8</v>
      </c>
      <c r="E23">
        <v>7</v>
      </c>
      <c r="F23">
        <v>28</v>
      </c>
    </row>
    <row r="24" spans="4:6" x14ac:dyDescent="0.25">
      <c r="D24">
        <f t="shared" ca="1" si="0"/>
        <v>10</v>
      </c>
      <c r="E24">
        <v>11</v>
      </c>
      <c r="F24">
        <v>44</v>
      </c>
    </row>
    <row r="25" spans="4:6" x14ac:dyDescent="0.25">
      <c r="D25">
        <f t="shared" ca="1" si="0"/>
        <v>5</v>
      </c>
      <c r="E25">
        <v>5</v>
      </c>
      <c r="F25">
        <v>20</v>
      </c>
    </row>
    <row r="26" spans="4:6" x14ac:dyDescent="0.25">
      <c r="D26">
        <f t="shared" ca="1" si="0"/>
        <v>9</v>
      </c>
      <c r="E26">
        <v>9</v>
      </c>
      <c r="F26">
        <v>36</v>
      </c>
    </row>
    <row r="27" spans="4:6" x14ac:dyDescent="0.25">
      <c r="D27">
        <f t="shared" ca="1" si="0"/>
        <v>6</v>
      </c>
      <c r="E27">
        <v>8</v>
      </c>
      <c r="F27">
        <v>32</v>
      </c>
    </row>
    <row r="28" spans="4:6" x14ac:dyDescent="0.25">
      <c r="D28">
        <f t="shared" ca="1" si="0"/>
        <v>8</v>
      </c>
      <c r="E28">
        <v>10</v>
      </c>
      <c r="F28">
        <v>40</v>
      </c>
    </row>
    <row r="29" spans="4:6" x14ac:dyDescent="0.25">
      <c r="D29">
        <f t="shared" ca="1" si="0"/>
        <v>10</v>
      </c>
      <c r="E29">
        <v>7</v>
      </c>
      <c r="F29">
        <v>28</v>
      </c>
    </row>
    <row r="30" spans="4:6" x14ac:dyDescent="0.25">
      <c r="D30">
        <f t="shared" ca="1" si="0"/>
        <v>9</v>
      </c>
      <c r="E30">
        <v>9</v>
      </c>
      <c r="F30">
        <v>36</v>
      </c>
    </row>
    <row r="31" spans="4:6" x14ac:dyDescent="0.25">
      <c r="D31">
        <f t="shared" ca="1" si="0"/>
        <v>6</v>
      </c>
      <c r="E31">
        <v>8</v>
      </c>
      <c r="F31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EAE28-8EAD-4180-BE27-067E09B7ECF9}">
  <dimension ref="A1:J61"/>
  <sheetViews>
    <sheetView workbookViewId="0">
      <selection activeCell="H10" sqref="H10"/>
    </sheetView>
  </sheetViews>
  <sheetFormatPr defaultRowHeight="15" x14ac:dyDescent="0.25"/>
  <cols>
    <col min="1" max="1" width="18.7109375" bestFit="1" customWidth="1"/>
    <col min="5" max="5" width="10.5703125" bestFit="1" customWidth="1"/>
    <col min="6" max="6" width="11.85546875" bestFit="1" customWidth="1"/>
    <col min="8" max="8" width="10" bestFit="1" customWidth="1"/>
    <col min="9" max="9" width="10.140625" bestFit="1" customWidth="1"/>
  </cols>
  <sheetData>
    <row r="1" spans="1:10" x14ac:dyDescent="0.25">
      <c r="A1" t="s">
        <v>14</v>
      </c>
      <c r="B1">
        <v>2</v>
      </c>
      <c r="D1" t="s">
        <v>7</v>
      </c>
      <c r="E1" t="s">
        <v>11</v>
      </c>
      <c r="F1" s="4" t="s">
        <v>13</v>
      </c>
      <c r="H1" t="s">
        <v>15</v>
      </c>
    </row>
    <row r="2" spans="1:10" x14ac:dyDescent="0.25">
      <c r="D2">
        <f t="shared" ref="D2:D33" ca="1" si="0">MAX(ROUND(_xlfn.NORM.INV(RAND(),75,20),0))</f>
        <v>72</v>
      </c>
      <c r="E2">
        <v>80</v>
      </c>
      <c r="F2" cm="1">
        <f t="array" ref="F2:F61">B1*E2:E61</f>
        <v>160</v>
      </c>
      <c r="H2" t="s">
        <v>16</v>
      </c>
      <c r="I2" t="s">
        <v>123</v>
      </c>
    </row>
    <row r="3" spans="1:10" x14ac:dyDescent="0.25">
      <c r="D3">
        <f t="shared" ca="1" si="0"/>
        <v>108</v>
      </c>
      <c r="E3">
        <v>91</v>
      </c>
      <c r="F3">
        <v>182</v>
      </c>
      <c r="I3">
        <f>COUNTIF(F2:F61,"&gt;"&amp;J3)</f>
        <v>30</v>
      </c>
      <c r="J3">
        <v>160</v>
      </c>
    </row>
    <row r="4" spans="1:10" x14ac:dyDescent="0.25">
      <c r="D4">
        <f t="shared" ca="1" si="0"/>
        <v>67</v>
      </c>
      <c r="E4">
        <v>72</v>
      </c>
      <c r="F4">
        <v>144</v>
      </c>
    </row>
    <row r="5" spans="1:10" x14ac:dyDescent="0.25">
      <c r="D5">
        <f t="shared" ca="1" si="0"/>
        <v>67</v>
      </c>
      <c r="E5">
        <v>91</v>
      </c>
      <c r="F5">
        <v>182</v>
      </c>
      <c r="H5" t="s">
        <v>17</v>
      </c>
      <c r="I5" t="s">
        <v>3</v>
      </c>
      <c r="J5" t="s">
        <v>2</v>
      </c>
    </row>
    <row r="6" spans="1:10" x14ac:dyDescent="0.25">
      <c r="D6">
        <f t="shared" ca="1" si="0"/>
        <v>94</v>
      </c>
      <c r="E6">
        <v>105</v>
      </c>
      <c r="F6">
        <v>210</v>
      </c>
      <c r="I6">
        <f>_xlfn.PERCENTILE.EXC(F2:F61,J6)</f>
        <v>205.8</v>
      </c>
      <c r="J6">
        <v>0.9</v>
      </c>
    </row>
    <row r="7" spans="1:10" x14ac:dyDescent="0.25">
      <c r="D7">
        <f t="shared" ca="1" si="0"/>
        <v>33</v>
      </c>
      <c r="E7">
        <v>94</v>
      </c>
      <c r="F7">
        <v>188</v>
      </c>
    </row>
    <row r="8" spans="1:10" x14ac:dyDescent="0.25">
      <c r="D8">
        <f t="shared" ca="1" si="0"/>
        <v>92</v>
      </c>
      <c r="E8">
        <v>83</v>
      </c>
      <c r="F8">
        <v>166</v>
      </c>
    </row>
    <row r="9" spans="1:10" x14ac:dyDescent="0.25">
      <c r="D9">
        <f t="shared" ca="1" si="0"/>
        <v>55</v>
      </c>
      <c r="E9">
        <v>84</v>
      </c>
      <c r="F9">
        <v>168</v>
      </c>
    </row>
    <row r="10" spans="1:10" x14ac:dyDescent="0.25">
      <c r="D10">
        <f t="shared" ca="1" si="0"/>
        <v>107</v>
      </c>
      <c r="E10">
        <v>67</v>
      </c>
      <c r="F10">
        <v>134</v>
      </c>
    </row>
    <row r="11" spans="1:10" x14ac:dyDescent="0.25">
      <c r="D11">
        <f t="shared" ca="1" si="0"/>
        <v>67</v>
      </c>
      <c r="E11">
        <v>92</v>
      </c>
      <c r="F11">
        <v>184</v>
      </c>
    </row>
    <row r="12" spans="1:10" x14ac:dyDescent="0.25">
      <c r="D12">
        <f t="shared" ca="1" si="0"/>
        <v>72</v>
      </c>
      <c r="E12">
        <v>44</v>
      </c>
      <c r="F12">
        <v>88</v>
      </c>
    </row>
    <row r="13" spans="1:10" x14ac:dyDescent="0.25">
      <c r="D13">
        <f t="shared" ca="1" si="0"/>
        <v>63</v>
      </c>
      <c r="E13">
        <v>48</v>
      </c>
      <c r="F13">
        <v>96</v>
      </c>
    </row>
    <row r="14" spans="1:10" x14ac:dyDescent="0.25">
      <c r="D14">
        <f t="shared" ca="1" si="0"/>
        <v>90</v>
      </c>
      <c r="E14">
        <v>73</v>
      </c>
      <c r="F14">
        <v>146</v>
      </c>
    </row>
    <row r="15" spans="1:10" x14ac:dyDescent="0.25">
      <c r="D15">
        <f t="shared" ca="1" si="0"/>
        <v>34</v>
      </c>
      <c r="E15">
        <v>82</v>
      </c>
      <c r="F15">
        <v>164</v>
      </c>
    </row>
    <row r="16" spans="1:10" x14ac:dyDescent="0.25">
      <c r="D16">
        <f t="shared" ca="1" si="0"/>
        <v>63</v>
      </c>
      <c r="E16">
        <v>55</v>
      </c>
      <c r="F16">
        <v>110</v>
      </c>
    </row>
    <row r="17" spans="4:6" x14ac:dyDescent="0.25">
      <c r="D17">
        <f t="shared" ca="1" si="0"/>
        <v>117</v>
      </c>
      <c r="E17">
        <v>97</v>
      </c>
      <c r="F17">
        <v>194</v>
      </c>
    </row>
    <row r="18" spans="4:6" x14ac:dyDescent="0.25">
      <c r="D18">
        <f t="shared" ca="1" si="0"/>
        <v>70</v>
      </c>
      <c r="E18">
        <v>53</v>
      </c>
      <c r="F18">
        <v>106</v>
      </c>
    </row>
    <row r="19" spans="4:6" x14ac:dyDescent="0.25">
      <c r="D19">
        <f t="shared" ca="1" si="0"/>
        <v>68</v>
      </c>
      <c r="E19">
        <v>107</v>
      </c>
      <c r="F19">
        <v>214</v>
      </c>
    </row>
    <row r="20" spans="4:6" x14ac:dyDescent="0.25">
      <c r="D20">
        <f t="shared" ca="1" si="0"/>
        <v>63</v>
      </c>
      <c r="E20">
        <v>59</v>
      </c>
      <c r="F20">
        <v>118</v>
      </c>
    </row>
    <row r="21" spans="4:6" x14ac:dyDescent="0.25">
      <c r="D21">
        <f t="shared" ca="1" si="0"/>
        <v>54</v>
      </c>
      <c r="E21">
        <v>79</v>
      </c>
      <c r="F21">
        <v>158</v>
      </c>
    </row>
    <row r="22" spans="4:6" x14ac:dyDescent="0.25">
      <c r="D22">
        <f t="shared" ca="1" si="0"/>
        <v>83</v>
      </c>
      <c r="E22">
        <v>94</v>
      </c>
      <c r="F22">
        <v>188</v>
      </c>
    </row>
    <row r="23" spans="4:6" x14ac:dyDescent="0.25">
      <c r="D23">
        <f t="shared" ca="1" si="0"/>
        <v>62</v>
      </c>
      <c r="E23">
        <v>48</v>
      </c>
      <c r="F23">
        <v>96</v>
      </c>
    </row>
    <row r="24" spans="4:6" x14ac:dyDescent="0.25">
      <c r="D24">
        <f t="shared" ca="1" si="0"/>
        <v>61</v>
      </c>
      <c r="E24">
        <v>88</v>
      </c>
      <c r="F24">
        <v>176</v>
      </c>
    </row>
    <row r="25" spans="4:6" x14ac:dyDescent="0.25">
      <c r="D25">
        <f t="shared" ca="1" si="0"/>
        <v>96</v>
      </c>
      <c r="E25">
        <v>83</v>
      </c>
      <c r="F25">
        <v>166</v>
      </c>
    </row>
    <row r="26" spans="4:6" x14ac:dyDescent="0.25">
      <c r="D26">
        <f t="shared" ca="1" si="0"/>
        <v>97</v>
      </c>
      <c r="E26">
        <v>85</v>
      </c>
      <c r="F26">
        <v>170</v>
      </c>
    </row>
    <row r="27" spans="4:6" x14ac:dyDescent="0.25">
      <c r="D27">
        <f t="shared" ca="1" si="0"/>
        <v>104</v>
      </c>
      <c r="E27">
        <v>118</v>
      </c>
      <c r="F27">
        <v>236</v>
      </c>
    </row>
    <row r="28" spans="4:6" x14ac:dyDescent="0.25">
      <c r="D28">
        <f t="shared" ca="1" si="0"/>
        <v>68</v>
      </c>
      <c r="E28">
        <v>87</v>
      </c>
      <c r="F28">
        <v>174</v>
      </c>
    </row>
    <row r="29" spans="4:6" x14ac:dyDescent="0.25">
      <c r="D29">
        <f t="shared" ca="1" si="0"/>
        <v>61</v>
      </c>
      <c r="E29">
        <v>54</v>
      </c>
      <c r="F29">
        <v>108</v>
      </c>
    </row>
    <row r="30" spans="4:6" x14ac:dyDescent="0.25">
      <c r="D30">
        <f t="shared" ca="1" si="0"/>
        <v>67</v>
      </c>
      <c r="E30">
        <v>78</v>
      </c>
      <c r="F30">
        <v>156</v>
      </c>
    </row>
    <row r="31" spans="4:6" x14ac:dyDescent="0.25">
      <c r="D31">
        <f t="shared" ca="1" si="0"/>
        <v>80</v>
      </c>
      <c r="E31">
        <v>78</v>
      </c>
      <c r="F31">
        <v>156</v>
      </c>
    </row>
    <row r="32" spans="4:6" x14ac:dyDescent="0.25">
      <c r="D32">
        <f t="shared" ca="1" si="0"/>
        <v>75</v>
      </c>
      <c r="E32">
        <v>47</v>
      </c>
      <c r="F32">
        <v>94</v>
      </c>
    </row>
    <row r="33" spans="4:6" x14ac:dyDescent="0.25">
      <c r="D33">
        <f t="shared" ca="1" si="0"/>
        <v>112</v>
      </c>
      <c r="E33">
        <v>77</v>
      </c>
      <c r="F33">
        <v>154</v>
      </c>
    </row>
    <row r="34" spans="4:6" x14ac:dyDescent="0.25">
      <c r="D34">
        <f t="shared" ref="D34:D61" ca="1" si="1">MAX(ROUND(_xlfn.NORM.INV(RAND(),75,20),0))</f>
        <v>87</v>
      </c>
      <c r="E34">
        <v>92</v>
      </c>
      <c r="F34">
        <v>184</v>
      </c>
    </row>
    <row r="35" spans="4:6" x14ac:dyDescent="0.25">
      <c r="D35">
        <f t="shared" ca="1" si="1"/>
        <v>55</v>
      </c>
      <c r="E35">
        <v>84</v>
      </c>
      <c r="F35">
        <v>168</v>
      </c>
    </row>
    <row r="36" spans="4:6" x14ac:dyDescent="0.25">
      <c r="D36">
        <f t="shared" ca="1" si="1"/>
        <v>83</v>
      </c>
      <c r="E36">
        <v>93</v>
      </c>
      <c r="F36">
        <v>186</v>
      </c>
    </row>
    <row r="37" spans="4:6" x14ac:dyDescent="0.25">
      <c r="D37">
        <f t="shared" ca="1" si="1"/>
        <v>66</v>
      </c>
      <c r="E37">
        <v>65</v>
      </c>
      <c r="F37">
        <v>130</v>
      </c>
    </row>
    <row r="38" spans="4:6" x14ac:dyDescent="0.25">
      <c r="D38">
        <f t="shared" ca="1" si="1"/>
        <v>77</v>
      </c>
      <c r="E38">
        <v>100</v>
      </c>
      <c r="F38">
        <v>200</v>
      </c>
    </row>
    <row r="39" spans="4:6" x14ac:dyDescent="0.25">
      <c r="D39">
        <f t="shared" ca="1" si="1"/>
        <v>86</v>
      </c>
      <c r="E39">
        <v>96</v>
      </c>
      <c r="F39">
        <v>192</v>
      </c>
    </row>
    <row r="40" spans="4:6" x14ac:dyDescent="0.25">
      <c r="D40">
        <f t="shared" ca="1" si="1"/>
        <v>86</v>
      </c>
      <c r="E40">
        <v>97</v>
      </c>
      <c r="F40">
        <v>194</v>
      </c>
    </row>
    <row r="41" spans="4:6" x14ac:dyDescent="0.25">
      <c r="D41">
        <f t="shared" ca="1" si="1"/>
        <v>109</v>
      </c>
      <c r="E41">
        <v>68</v>
      </c>
      <c r="F41">
        <v>136</v>
      </c>
    </row>
    <row r="42" spans="4:6" x14ac:dyDescent="0.25">
      <c r="D42">
        <f t="shared" ca="1" si="1"/>
        <v>74</v>
      </c>
      <c r="E42">
        <v>79</v>
      </c>
      <c r="F42">
        <v>158</v>
      </c>
    </row>
    <row r="43" spans="4:6" x14ac:dyDescent="0.25">
      <c r="D43">
        <f t="shared" ca="1" si="1"/>
        <v>85</v>
      </c>
      <c r="E43">
        <v>58</v>
      </c>
      <c r="F43">
        <v>116</v>
      </c>
    </row>
    <row r="44" spans="4:6" x14ac:dyDescent="0.25">
      <c r="D44">
        <f t="shared" ca="1" si="1"/>
        <v>108</v>
      </c>
      <c r="E44">
        <v>87</v>
      </c>
      <c r="F44">
        <v>174</v>
      </c>
    </row>
    <row r="45" spans="4:6" x14ac:dyDescent="0.25">
      <c r="D45">
        <f t="shared" ca="1" si="1"/>
        <v>59</v>
      </c>
      <c r="E45">
        <v>52</v>
      </c>
      <c r="F45">
        <v>104</v>
      </c>
    </row>
    <row r="46" spans="4:6" x14ac:dyDescent="0.25">
      <c r="D46">
        <f t="shared" ca="1" si="1"/>
        <v>66</v>
      </c>
      <c r="E46">
        <v>74</v>
      </c>
      <c r="F46">
        <v>148</v>
      </c>
    </row>
    <row r="47" spans="4:6" x14ac:dyDescent="0.25">
      <c r="D47">
        <f t="shared" ca="1" si="1"/>
        <v>83</v>
      </c>
      <c r="E47">
        <v>85</v>
      </c>
      <c r="F47">
        <v>170</v>
      </c>
    </row>
    <row r="48" spans="4:6" x14ac:dyDescent="0.25">
      <c r="D48">
        <f t="shared" ca="1" si="1"/>
        <v>100</v>
      </c>
      <c r="E48">
        <v>102</v>
      </c>
      <c r="F48">
        <v>204</v>
      </c>
    </row>
    <row r="49" spans="4:6" x14ac:dyDescent="0.25">
      <c r="D49">
        <f t="shared" ca="1" si="1"/>
        <v>98</v>
      </c>
      <c r="E49">
        <v>113</v>
      </c>
      <c r="F49">
        <v>226</v>
      </c>
    </row>
    <row r="50" spans="4:6" x14ac:dyDescent="0.25">
      <c r="D50">
        <f t="shared" ca="1" si="1"/>
        <v>80</v>
      </c>
      <c r="E50">
        <v>57</v>
      </c>
      <c r="F50">
        <v>114</v>
      </c>
    </row>
    <row r="51" spans="4:6" x14ac:dyDescent="0.25">
      <c r="D51">
        <f t="shared" ca="1" si="1"/>
        <v>61</v>
      </c>
      <c r="E51">
        <v>103</v>
      </c>
      <c r="F51">
        <v>206</v>
      </c>
    </row>
    <row r="52" spans="4:6" x14ac:dyDescent="0.25">
      <c r="D52">
        <f t="shared" ca="1" si="1"/>
        <v>68</v>
      </c>
      <c r="E52">
        <v>70</v>
      </c>
      <c r="F52">
        <v>140</v>
      </c>
    </row>
    <row r="53" spans="4:6" x14ac:dyDescent="0.25">
      <c r="D53">
        <f t="shared" ca="1" si="1"/>
        <v>71</v>
      </c>
      <c r="E53">
        <v>91</v>
      </c>
      <c r="F53">
        <v>182</v>
      </c>
    </row>
    <row r="54" spans="4:6" x14ac:dyDescent="0.25">
      <c r="D54">
        <f t="shared" ca="1" si="1"/>
        <v>99</v>
      </c>
      <c r="E54">
        <v>102</v>
      </c>
      <c r="F54">
        <v>204</v>
      </c>
    </row>
    <row r="55" spans="4:6" x14ac:dyDescent="0.25">
      <c r="D55">
        <f t="shared" ca="1" si="1"/>
        <v>88</v>
      </c>
      <c r="E55">
        <v>68</v>
      </c>
      <c r="F55">
        <v>136</v>
      </c>
    </row>
    <row r="56" spans="4:6" x14ac:dyDescent="0.25">
      <c r="D56">
        <f t="shared" ca="1" si="1"/>
        <v>56</v>
      </c>
      <c r="E56">
        <v>65</v>
      </c>
      <c r="F56">
        <v>130</v>
      </c>
    </row>
    <row r="57" spans="4:6" x14ac:dyDescent="0.25">
      <c r="D57">
        <f t="shared" ca="1" si="1"/>
        <v>65</v>
      </c>
      <c r="E57">
        <v>74</v>
      </c>
      <c r="F57">
        <v>148</v>
      </c>
    </row>
    <row r="58" spans="4:6" x14ac:dyDescent="0.25">
      <c r="D58">
        <f t="shared" ca="1" si="1"/>
        <v>73</v>
      </c>
      <c r="E58">
        <v>62</v>
      </c>
      <c r="F58">
        <v>124</v>
      </c>
    </row>
    <row r="59" spans="4:6" x14ac:dyDescent="0.25">
      <c r="D59">
        <f t="shared" ca="1" si="1"/>
        <v>73</v>
      </c>
      <c r="E59">
        <v>51</v>
      </c>
      <c r="F59">
        <v>102</v>
      </c>
    </row>
    <row r="60" spans="4:6" x14ac:dyDescent="0.25">
      <c r="D60">
        <f t="shared" ca="1" si="1"/>
        <v>58</v>
      </c>
      <c r="E60">
        <v>49</v>
      </c>
      <c r="F60">
        <v>98</v>
      </c>
    </row>
    <row r="61" spans="4:6" x14ac:dyDescent="0.25">
      <c r="D61">
        <f t="shared" ca="1" si="1"/>
        <v>68</v>
      </c>
      <c r="E61">
        <v>115</v>
      </c>
      <c r="F61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6E3E-81D8-4458-A5B6-16AB61A4B992}">
  <dimension ref="A1:J61"/>
  <sheetViews>
    <sheetView workbookViewId="0">
      <selection activeCell="G1" sqref="G1"/>
    </sheetView>
  </sheetViews>
  <sheetFormatPr defaultRowHeight="15" x14ac:dyDescent="0.25"/>
  <cols>
    <col min="1" max="1" width="18.7109375" bestFit="1" customWidth="1"/>
    <col min="5" max="5" width="10.5703125" bestFit="1" customWidth="1"/>
    <col min="6" max="6" width="11.85546875" bestFit="1" customWidth="1"/>
    <col min="7" max="7" width="18.5703125" bestFit="1" customWidth="1"/>
    <col min="8" max="8" width="10" bestFit="1" customWidth="1"/>
    <col min="9" max="9" width="10.140625" bestFit="1" customWidth="1"/>
  </cols>
  <sheetData>
    <row r="1" spans="1:10" x14ac:dyDescent="0.25">
      <c r="A1" t="s">
        <v>14</v>
      </c>
      <c r="B1">
        <v>2</v>
      </c>
      <c r="D1" t="s">
        <v>7</v>
      </c>
      <c r="E1" t="s">
        <v>11</v>
      </c>
      <c r="F1" t="s">
        <v>13</v>
      </c>
      <c r="G1" s="4" t="s">
        <v>124</v>
      </c>
      <c r="H1" t="s">
        <v>15</v>
      </c>
    </row>
    <row r="2" spans="1:10" x14ac:dyDescent="0.25">
      <c r="D2">
        <f t="shared" ref="D2:D61" ca="1" si="0">MAX(ROUND(_xlfn.NORM.INV(RAND(),75,20),0))</f>
        <v>89</v>
      </c>
      <c r="E2">
        <v>80</v>
      </c>
      <c r="F2" cm="1">
        <f t="array" aca="1" ref="F2:F61" ca="1">ROUND(_xlfn.GAMMA.INV(RAND(),4*E2:E61,0.5),0)</f>
        <v>162</v>
      </c>
      <c r="G2">
        <v>157</v>
      </c>
      <c r="H2" t="s">
        <v>16</v>
      </c>
      <c r="I2" t="s">
        <v>123</v>
      </c>
    </row>
    <row r="3" spans="1:10" x14ac:dyDescent="0.25">
      <c r="D3">
        <f t="shared" ca="1" si="0"/>
        <v>73</v>
      </c>
      <c r="E3">
        <v>91</v>
      </c>
      <c r="F3">
        <f ca="1"/>
        <v>184</v>
      </c>
      <c r="G3">
        <v>179</v>
      </c>
      <c r="I3">
        <f>COUNTIF(G2:G61,"&gt;"&amp;J3)</f>
        <v>30</v>
      </c>
      <c r="J3">
        <v>160</v>
      </c>
    </row>
    <row r="4" spans="1:10" x14ac:dyDescent="0.25">
      <c r="D4">
        <f t="shared" ca="1" si="0"/>
        <v>94</v>
      </c>
      <c r="E4">
        <v>72</v>
      </c>
      <c r="F4">
        <f ca="1"/>
        <v>145</v>
      </c>
      <c r="G4">
        <v>141</v>
      </c>
    </row>
    <row r="5" spans="1:10" x14ac:dyDescent="0.25">
      <c r="D5">
        <f t="shared" ca="1" si="0"/>
        <v>81</v>
      </c>
      <c r="E5">
        <v>91</v>
      </c>
      <c r="F5">
        <f ca="1"/>
        <v>184</v>
      </c>
      <c r="G5">
        <v>179</v>
      </c>
      <c r="H5" t="s">
        <v>17</v>
      </c>
      <c r="I5" t="s">
        <v>3</v>
      </c>
      <c r="J5" t="s">
        <v>2</v>
      </c>
    </row>
    <row r="6" spans="1:10" x14ac:dyDescent="0.25">
      <c r="D6">
        <f t="shared" ca="1" si="0"/>
        <v>43</v>
      </c>
      <c r="E6">
        <v>105</v>
      </c>
      <c r="F6">
        <f ca="1"/>
        <v>212</v>
      </c>
      <c r="G6">
        <v>207</v>
      </c>
      <c r="I6">
        <f>_xlfn.PERCENTILE.EXC(G2:G61,J6)</f>
        <v>202.8</v>
      </c>
      <c r="J6">
        <v>0.9</v>
      </c>
    </row>
    <row r="7" spans="1:10" x14ac:dyDescent="0.25">
      <c r="D7">
        <f t="shared" ca="1" si="0"/>
        <v>61</v>
      </c>
      <c r="E7">
        <v>94</v>
      </c>
      <c r="F7">
        <f ca="1"/>
        <v>190</v>
      </c>
      <c r="G7">
        <v>185</v>
      </c>
    </row>
    <row r="8" spans="1:10" x14ac:dyDescent="0.25">
      <c r="D8">
        <f t="shared" ca="1" si="0"/>
        <v>91</v>
      </c>
      <c r="E8">
        <v>83</v>
      </c>
      <c r="F8">
        <f ca="1"/>
        <v>168</v>
      </c>
      <c r="G8">
        <v>163</v>
      </c>
    </row>
    <row r="9" spans="1:10" x14ac:dyDescent="0.25">
      <c r="D9">
        <f t="shared" ca="1" si="0"/>
        <v>73</v>
      </c>
      <c r="E9">
        <v>84</v>
      </c>
      <c r="F9">
        <f ca="1"/>
        <v>170</v>
      </c>
      <c r="G9">
        <v>165</v>
      </c>
    </row>
    <row r="10" spans="1:10" x14ac:dyDescent="0.25">
      <c r="D10">
        <f t="shared" ca="1" si="0"/>
        <v>71</v>
      </c>
      <c r="E10">
        <v>67</v>
      </c>
      <c r="F10">
        <f ca="1"/>
        <v>135</v>
      </c>
      <c r="G10">
        <v>131</v>
      </c>
    </row>
    <row r="11" spans="1:10" x14ac:dyDescent="0.25">
      <c r="D11">
        <f t="shared" ca="1" si="0"/>
        <v>61</v>
      </c>
      <c r="E11">
        <v>92</v>
      </c>
      <c r="F11">
        <f ca="1"/>
        <v>186</v>
      </c>
      <c r="G11">
        <v>181</v>
      </c>
    </row>
    <row r="12" spans="1:10" x14ac:dyDescent="0.25">
      <c r="D12">
        <f t="shared" ca="1" si="0"/>
        <v>47</v>
      </c>
      <c r="E12">
        <v>44</v>
      </c>
      <c r="F12">
        <f ca="1"/>
        <v>89</v>
      </c>
      <c r="G12">
        <v>86</v>
      </c>
    </row>
    <row r="13" spans="1:10" x14ac:dyDescent="0.25">
      <c r="D13">
        <f t="shared" ca="1" si="0"/>
        <v>96</v>
      </c>
      <c r="E13">
        <v>48</v>
      </c>
      <c r="F13">
        <f ca="1"/>
        <v>97</v>
      </c>
      <c r="G13">
        <v>94</v>
      </c>
    </row>
    <row r="14" spans="1:10" x14ac:dyDescent="0.25">
      <c r="D14">
        <f t="shared" ca="1" si="0"/>
        <v>71</v>
      </c>
      <c r="E14">
        <v>73</v>
      </c>
      <c r="F14">
        <f ca="1"/>
        <v>147</v>
      </c>
      <c r="G14">
        <v>143</v>
      </c>
    </row>
    <row r="15" spans="1:10" x14ac:dyDescent="0.25">
      <c r="D15">
        <f t="shared" ca="1" si="0"/>
        <v>50</v>
      </c>
      <c r="E15">
        <v>82</v>
      </c>
      <c r="F15">
        <f ca="1"/>
        <v>166</v>
      </c>
      <c r="G15">
        <v>161</v>
      </c>
    </row>
    <row r="16" spans="1:10" x14ac:dyDescent="0.25">
      <c r="D16">
        <f t="shared" ca="1" si="0"/>
        <v>70</v>
      </c>
      <c r="E16">
        <v>55</v>
      </c>
      <c r="F16">
        <f ca="1"/>
        <v>111</v>
      </c>
      <c r="G16">
        <v>108</v>
      </c>
    </row>
    <row r="17" spans="4:7" x14ac:dyDescent="0.25">
      <c r="D17">
        <f t="shared" ca="1" si="0"/>
        <v>40</v>
      </c>
      <c r="E17">
        <v>97</v>
      </c>
      <c r="F17">
        <f ca="1"/>
        <v>196</v>
      </c>
      <c r="G17">
        <v>191</v>
      </c>
    </row>
    <row r="18" spans="4:7" x14ac:dyDescent="0.25">
      <c r="D18">
        <f t="shared" ca="1" si="0"/>
        <v>64</v>
      </c>
      <c r="E18">
        <v>53</v>
      </c>
      <c r="F18">
        <f ca="1"/>
        <v>107</v>
      </c>
      <c r="G18">
        <v>104</v>
      </c>
    </row>
    <row r="19" spans="4:7" x14ac:dyDescent="0.25">
      <c r="D19">
        <f t="shared" ca="1" si="0"/>
        <v>90</v>
      </c>
      <c r="E19">
        <v>107</v>
      </c>
      <c r="F19">
        <f ca="1"/>
        <v>216</v>
      </c>
      <c r="G19">
        <v>211</v>
      </c>
    </row>
    <row r="20" spans="4:7" x14ac:dyDescent="0.25">
      <c r="D20">
        <f t="shared" ca="1" si="0"/>
        <v>82</v>
      </c>
      <c r="E20">
        <v>59</v>
      </c>
      <c r="F20">
        <f ca="1"/>
        <v>119</v>
      </c>
      <c r="G20">
        <v>116</v>
      </c>
    </row>
    <row r="21" spans="4:7" x14ac:dyDescent="0.25">
      <c r="D21">
        <f t="shared" ca="1" si="0"/>
        <v>61</v>
      </c>
      <c r="E21">
        <v>79</v>
      </c>
      <c r="F21">
        <f ca="1"/>
        <v>160</v>
      </c>
      <c r="G21">
        <v>155</v>
      </c>
    </row>
    <row r="22" spans="4:7" x14ac:dyDescent="0.25">
      <c r="D22">
        <f t="shared" ca="1" si="0"/>
        <v>120</v>
      </c>
      <c r="E22">
        <v>94</v>
      </c>
      <c r="F22">
        <f ca="1"/>
        <v>190</v>
      </c>
      <c r="G22">
        <v>185</v>
      </c>
    </row>
    <row r="23" spans="4:7" x14ac:dyDescent="0.25">
      <c r="D23">
        <f t="shared" ca="1" si="0"/>
        <v>90</v>
      </c>
      <c r="E23">
        <v>48</v>
      </c>
      <c r="F23">
        <f ca="1"/>
        <v>97</v>
      </c>
      <c r="G23">
        <v>94</v>
      </c>
    </row>
    <row r="24" spans="4:7" x14ac:dyDescent="0.25">
      <c r="D24">
        <f t="shared" ca="1" si="0"/>
        <v>82</v>
      </c>
      <c r="E24">
        <v>88</v>
      </c>
      <c r="F24">
        <f ca="1"/>
        <v>178</v>
      </c>
      <c r="G24">
        <v>173</v>
      </c>
    </row>
    <row r="25" spans="4:7" x14ac:dyDescent="0.25">
      <c r="D25">
        <f t="shared" ca="1" si="0"/>
        <v>110</v>
      </c>
      <c r="E25">
        <v>83</v>
      </c>
      <c r="F25">
        <f ca="1"/>
        <v>168</v>
      </c>
      <c r="G25">
        <v>163</v>
      </c>
    </row>
    <row r="26" spans="4:7" x14ac:dyDescent="0.25">
      <c r="D26">
        <f t="shared" ca="1" si="0"/>
        <v>69</v>
      </c>
      <c r="E26">
        <v>85</v>
      </c>
      <c r="F26">
        <f ca="1"/>
        <v>172</v>
      </c>
      <c r="G26">
        <v>167</v>
      </c>
    </row>
    <row r="27" spans="4:7" x14ac:dyDescent="0.25">
      <c r="D27">
        <f t="shared" ca="1" si="0"/>
        <v>79</v>
      </c>
      <c r="E27">
        <v>118</v>
      </c>
      <c r="F27">
        <f ca="1"/>
        <v>238</v>
      </c>
      <c r="G27">
        <v>233</v>
      </c>
    </row>
    <row r="28" spans="4:7" x14ac:dyDescent="0.25">
      <c r="D28">
        <f t="shared" ca="1" si="0"/>
        <v>73</v>
      </c>
      <c r="E28">
        <v>87</v>
      </c>
      <c r="F28">
        <f ca="1"/>
        <v>176</v>
      </c>
      <c r="G28">
        <v>171</v>
      </c>
    </row>
    <row r="29" spans="4:7" x14ac:dyDescent="0.25">
      <c r="D29">
        <f t="shared" ca="1" si="0"/>
        <v>81</v>
      </c>
      <c r="E29">
        <v>54</v>
      </c>
      <c r="F29">
        <f ca="1"/>
        <v>109</v>
      </c>
      <c r="G29">
        <v>106</v>
      </c>
    </row>
    <row r="30" spans="4:7" x14ac:dyDescent="0.25">
      <c r="D30">
        <f t="shared" ca="1" si="0"/>
        <v>70</v>
      </c>
      <c r="E30">
        <v>78</v>
      </c>
      <c r="F30">
        <f ca="1"/>
        <v>158</v>
      </c>
      <c r="G30">
        <v>153</v>
      </c>
    </row>
    <row r="31" spans="4:7" x14ac:dyDescent="0.25">
      <c r="D31">
        <f t="shared" ca="1" si="0"/>
        <v>81</v>
      </c>
      <c r="E31">
        <v>78</v>
      </c>
      <c r="F31">
        <f ca="1"/>
        <v>158</v>
      </c>
      <c r="G31">
        <v>153</v>
      </c>
    </row>
    <row r="32" spans="4:7" x14ac:dyDescent="0.25">
      <c r="D32">
        <f t="shared" ca="1" si="0"/>
        <v>63</v>
      </c>
      <c r="E32">
        <v>47</v>
      </c>
      <c r="F32">
        <f ca="1"/>
        <v>95</v>
      </c>
      <c r="G32">
        <v>92</v>
      </c>
    </row>
    <row r="33" spans="4:7" x14ac:dyDescent="0.25">
      <c r="D33">
        <f t="shared" ca="1" si="0"/>
        <v>102</v>
      </c>
      <c r="E33">
        <v>77</v>
      </c>
      <c r="F33">
        <f ca="1"/>
        <v>156</v>
      </c>
      <c r="G33">
        <v>151</v>
      </c>
    </row>
    <row r="34" spans="4:7" x14ac:dyDescent="0.25">
      <c r="D34">
        <f t="shared" ca="1" si="0"/>
        <v>33</v>
      </c>
      <c r="E34">
        <v>92</v>
      </c>
      <c r="F34">
        <f ca="1"/>
        <v>186</v>
      </c>
      <c r="G34">
        <v>181</v>
      </c>
    </row>
    <row r="35" spans="4:7" x14ac:dyDescent="0.25">
      <c r="D35">
        <f t="shared" ca="1" si="0"/>
        <v>60</v>
      </c>
      <c r="E35">
        <v>84</v>
      </c>
      <c r="F35">
        <f ca="1"/>
        <v>170</v>
      </c>
      <c r="G35">
        <v>165</v>
      </c>
    </row>
    <row r="36" spans="4:7" x14ac:dyDescent="0.25">
      <c r="D36">
        <f t="shared" ca="1" si="0"/>
        <v>49</v>
      </c>
      <c r="E36">
        <v>93</v>
      </c>
      <c r="F36">
        <f ca="1"/>
        <v>188</v>
      </c>
      <c r="G36">
        <v>183</v>
      </c>
    </row>
    <row r="37" spans="4:7" x14ac:dyDescent="0.25">
      <c r="D37">
        <f t="shared" ca="1" si="0"/>
        <v>49</v>
      </c>
      <c r="E37">
        <v>65</v>
      </c>
      <c r="F37">
        <f ca="1"/>
        <v>131</v>
      </c>
      <c r="G37">
        <v>128</v>
      </c>
    </row>
    <row r="38" spans="4:7" x14ac:dyDescent="0.25">
      <c r="D38">
        <f t="shared" ca="1" si="0"/>
        <v>66</v>
      </c>
      <c r="E38">
        <v>100</v>
      </c>
      <c r="F38">
        <f ca="1"/>
        <v>202</v>
      </c>
      <c r="G38">
        <v>197</v>
      </c>
    </row>
    <row r="39" spans="4:7" x14ac:dyDescent="0.25">
      <c r="D39">
        <f t="shared" ca="1" si="0"/>
        <v>98</v>
      </c>
      <c r="E39">
        <v>96</v>
      </c>
      <c r="F39">
        <f ca="1"/>
        <v>194</v>
      </c>
      <c r="G39">
        <v>189</v>
      </c>
    </row>
    <row r="40" spans="4:7" x14ac:dyDescent="0.25">
      <c r="D40">
        <f t="shared" ca="1" si="0"/>
        <v>51</v>
      </c>
      <c r="E40">
        <v>97</v>
      </c>
      <c r="F40">
        <f ca="1"/>
        <v>196</v>
      </c>
      <c r="G40">
        <v>191</v>
      </c>
    </row>
    <row r="41" spans="4:7" x14ac:dyDescent="0.25">
      <c r="D41">
        <f t="shared" ca="1" si="0"/>
        <v>93</v>
      </c>
      <c r="E41">
        <v>68</v>
      </c>
      <c r="F41">
        <f ca="1"/>
        <v>137</v>
      </c>
      <c r="G41">
        <v>133</v>
      </c>
    </row>
    <row r="42" spans="4:7" x14ac:dyDescent="0.25">
      <c r="D42">
        <f t="shared" ca="1" si="0"/>
        <v>60</v>
      </c>
      <c r="E42">
        <v>79</v>
      </c>
      <c r="F42">
        <f ca="1"/>
        <v>160</v>
      </c>
      <c r="G42">
        <v>155</v>
      </c>
    </row>
    <row r="43" spans="4:7" x14ac:dyDescent="0.25">
      <c r="D43">
        <f t="shared" ca="1" si="0"/>
        <v>83</v>
      </c>
      <c r="E43">
        <v>58</v>
      </c>
      <c r="F43">
        <f ca="1"/>
        <v>117</v>
      </c>
      <c r="G43">
        <v>114</v>
      </c>
    </row>
    <row r="44" spans="4:7" x14ac:dyDescent="0.25">
      <c r="D44">
        <f t="shared" ca="1" si="0"/>
        <v>96</v>
      </c>
      <c r="E44">
        <v>87</v>
      </c>
      <c r="F44">
        <f ca="1"/>
        <v>176</v>
      </c>
      <c r="G44">
        <v>171</v>
      </c>
    </row>
    <row r="45" spans="4:7" x14ac:dyDescent="0.25">
      <c r="D45">
        <f t="shared" ca="1" si="0"/>
        <v>56</v>
      </c>
      <c r="E45">
        <v>52</v>
      </c>
      <c r="F45">
        <f ca="1"/>
        <v>105</v>
      </c>
      <c r="G45">
        <v>102</v>
      </c>
    </row>
    <row r="46" spans="4:7" x14ac:dyDescent="0.25">
      <c r="D46">
        <f t="shared" ca="1" si="0"/>
        <v>79</v>
      </c>
      <c r="E46">
        <v>74</v>
      </c>
      <c r="F46">
        <f ca="1"/>
        <v>149</v>
      </c>
      <c r="G46">
        <v>145</v>
      </c>
    </row>
    <row r="47" spans="4:7" x14ac:dyDescent="0.25">
      <c r="D47">
        <f t="shared" ca="1" si="0"/>
        <v>75</v>
      </c>
      <c r="E47">
        <v>85</v>
      </c>
      <c r="F47">
        <f ca="1"/>
        <v>172</v>
      </c>
      <c r="G47">
        <v>167</v>
      </c>
    </row>
    <row r="48" spans="4:7" x14ac:dyDescent="0.25">
      <c r="D48">
        <f t="shared" ca="1" si="0"/>
        <v>71</v>
      </c>
      <c r="E48">
        <v>102</v>
      </c>
      <c r="F48">
        <f ca="1"/>
        <v>206</v>
      </c>
      <c r="G48">
        <v>201</v>
      </c>
    </row>
    <row r="49" spans="4:7" x14ac:dyDescent="0.25">
      <c r="D49">
        <f t="shared" ca="1" si="0"/>
        <v>102</v>
      </c>
      <c r="E49">
        <v>113</v>
      </c>
      <c r="F49">
        <f ca="1"/>
        <v>228</v>
      </c>
      <c r="G49">
        <v>223</v>
      </c>
    </row>
    <row r="50" spans="4:7" x14ac:dyDescent="0.25">
      <c r="D50">
        <f t="shared" ca="1" si="0"/>
        <v>68</v>
      </c>
      <c r="E50">
        <v>57</v>
      </c>
      <c r="F50">
        <f ca="1"/>
        <v>115</v>
      </c>
      <c r="G50">
        <v>112</v>
      </c>
    </row>
    <row r="51" spans="4:7" x14ac:dyDescent="0.25">
      <c r="D51">
        <f t="shared" ca="1" si="0"/>
        <v>103</v>
      </c>
      <c r="E51">
        <v>103</v>
      </c>
      <c r="F51">
        <f ca="1"/>
        <v>208</v>
      </c>
      <c r="G51">
        <v>203</v>
      </c>
    </row>
    <row r="52" spans="4:7" x14ac:dyDescent="0.25">
      <c r="D52">
        <f t="shared" ca="1" si="0"/>
        <v>87</v>
      </c>
      <c r="E52">
        <v>70</v>
      </c>
      <c r="F52">
        <f ca="1"/>
        <v>141</v>
      </c>
      <c r="G52">
        <v>137</v>
      </c>
    </row>
    <row r="53" spans="4:7" x14ac:dyDescent="0.25">
      <c r="D53">
        <f t="shared" ca="1" si="0"/>
        <v>59</v>
      </c>
      <c r="E53">
        <v>91</v>
      </c>
      <c r="F53">
        <f ca="1"/>
        <v>184</v>
      </c>
      <c r="G53">
        <v>179</v>
      </c>
    </row>
    <row r="54" spans="4:7" x14ac:dyDescent="0.25">
      <c r="D54">
        <f t="shared" ca="1" si="0"/>
        <v>81</v>
      </c>
      <c r="E54">
        <v>102</v>
      </c>
      <c r="F54">
        <f ca="1"/>
        <v>206</v>
      </c>
      <c r="G54">
        <v>201</v>
      </c>
    </row>
    <row r="55" spans="4:7" x14ac:dyDescent="0.25">
      <c r="D55">
        <f t="shared" ca="1" si="0"/>
        <v>75</v>
      </c>
      <c r="E55">
        <v>68</v>
      </c>
      <c r="F55">
        <f ca="1"/>
        <v>137</v>
      </c>
      <c r="G55">
        <v>133</v>
      </c>
    </row>
    <row r="56" spans="4:7" x14ac:dyDescent="0.25">
      <c r="D56">
        <f t="shared" ca="1" si="0"/>
        <v>80</v>
      </c>
      <c r="E56">
        <v>65</v>
      </c>
      <c r="F56">
        <f ca="1"/>
        <v>131</v>
      </c>
      <c r="G56">
        <v>128</v>
      </c>
    </row>
    <row r="57" spans="4:7" x14ac:dyDescent="0.25">
      <c r="D57">
        <f t="shared" ca="1" si="0"/>
        <v>58</v>
      </c>
      <c r="E57">
        <v>74</v>
      </c>
      <c r="F57">
        <f ca="1"/>
        <v>149</v>
      </c>
      <c r="G57">
        <v>145</v>
      </c>
    </row>
    <row r="58" spans="4:7" x14ac:dyDescent="0.25">
      <c r="D58">
        <f t="shared" ca="1" si="0"/>
        <v>99</v>
      </c>
      <c r="E58">
        <v>62</v>
      </c>
      <c r="F58">
        <f ca="1"/>
        <v>125</v>
      </c>
      <c r="G58">
        <v>122</v>
      </c>
    </row>
    <row r="59" spans="4:7" x14ac:dyDescent="0.25">
      <c r="D59">
        <f t="shared" ca="1" si="0"/>
        <v>77</v>
      </c>
      <c r="E59">
        <v>51</v>
      </c>
      <c r="F59">
        <f ca="1"/>
        <v>103</v>
      </c>
      <c r="G59">
        <v>100</v>
      </c>
    </row>
    <row r="60" spans="4:7" x14ac:dyDescent="0.25">
      <c r="D60">
        <f t="shared" ca="1" si="0"/>
        <v>130</v>
      </c>
      <c r="E60">
        <v>49</v>
      </c>
      <c r="F60">
        <f ca="1"/>
        <v>99</v>
      </c>
      <c r="G60">
        <v>96</v>
      </c>
    </row>
    <row r="61" spans="4:7" x14ac:dyDescent="0.25">
      <c r="D61">
        <f t="shared" ca="1" si="0"/>
        <v>32</v>
      </c>
      <c r="E61">
        <v>115</v>
      </c>
      <c r="F61">
        <f ca="1"/>
        <v>232</v>
      </c>
      <c r="G61">
        <v>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BB372-381E-434D-802B-A6341495511F}">
  <dimension ref="A1:G7"/>
  <sheetViews>
    <sheetView workbookViewId="0">
      <selection activeCell="F5" sqref="F5"/>
    </sheetView>
  </sheetViews>
  <sheetFormatPr defaultRowHeight="15" x14ac:dyDescent="0.25"/>
  <cols>
    <col min="1" max="1" width="12.42578125" bestFit="1" customWidth="1"/>
    <col min="2" max="2" width="12.28515625" bestFit="1" customWidth="1"/>
    <col min="4" max="4" width="20.28515625" bestFit="1" customWidth="1"/>
    <col min="5" max="5" width="20.140625" bestFit="1" customWidth="1"/>
    <col min="6" max="6" width="19.28515625" bestFit="1" customWidth="1"/>
    <col min="7" max="7" width="19.7109375" bestFit="1" customWidth="1"/>
  </cols>
  <sheetData>
    <row r="1" spans="1:7" x14ac:dyDescent="0.25">
      <c r="A1" t="s">
        <v>22</v>
      </c>
      <c r="B1" t="s">
        <v>23</v>
      </c>
      <c r="D1" t="s">
        <v>25</v>
      </c>
      <c r="E1" t="s">
        <v>26</v>
      </c>
      <c r="F1" t="s">
        <v>30</v>
      </c>
      <c r="G1" t="s">
        <v>31</v>
      </c>
    </row>
    <row r="2" spans="1:7" x14ac:dyDescent="0.25">
      <c r="A2">
        <v>0</v>
      </c>
      <c r="B2">
        <v>60</v>
      </c>
      <c r="D2">
        <v>3</v>
      </c>
      <c r="E2">
        <v>2</v>
      </c>
      <c r="F2">
        <f>(A2*D2) + (B2*E2)</f>
        <v>120</v>
      </c>
      <c r="G2">
        <v>120</v>
      </c>
    </row>
    <row r="4" spans="1:7" x14ac:dyDescent="0.25">
      <c r="A4" t="s">
        <v>27</v>
      </c>
      <c r="B4" t="s">
        <v>28</v>
      </c>
      <c r="D4" t="s">
        <v>24</v>
      </c>
      <c r="E4" t="s">
        <v>29</v>
      </c>
      <c r="F4" t="s">
        <v>32</v>
      </c>
      <c r="G4" t="s">
        <v>33</v>
      </c>
    </row>
    <row r="5" spans="1:7" x14ac:dyDescent="0.25">
      <c r="A5">
        <v>50</v>
      </c>
      <c r="B5">
        <v>30</v>
      </c>
      <c r="D5">
        <v>2</v>
      </c>
      <c r="E5">
        <v>1</v>
      </c>
      <c r="F5">
        <f>(A2*D5) + (B2*E5)</f>
        <v>60</v>
      </c>
      <c r="G5">
        <v>60</v>
      </c>
    </row>
    <row r="7" spans="1:7" x14ac:dyDescent="0.25">
      <c r="A7" t="s">
        <v>34</v>
      </c>
      <c r="B7">
        <f>(A2*A5) + (B2*B5)</f>
        <v>1800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2B55-0BCE-44A5-BDAF-C8C425C4E7FB}">
  <dimension ref="A1:G7"/>
  <sheetViews>
    <sheetView workbookViewId="0">
      <selection activeCell="B9" sqref="B9"/>
    </sheetView>
  </sheetViews>
  <sheetFormatPr defaultRowHeight="15" x14ac:dyDescent="0.25"/>
  <cols>
    <col min="1" max="1" width="9.5703125" bestFit="1" customWidth="1"/>
    <col min="2" max="2" width="9.42578125" bestFit="1" customWidth="1"/>
    <col min="4" max="4" width="12.85546875" bestFit="1" customWidth="1"/>
    <col min="5" max="5" width="12" bestFit="1" customWidth="1"/>
    <col min="6" max="6" width="12.42578125" bestFit="1" customWidth="1"/>
    <col min="7" max="7" width="11.7109375" bestFit="1" customWidth="1"/>
  </cols>
  <sheetData>
    <row r="1" spans="1:7" x14ac:dyDescent="0.25">
      <c r="A1" t="s">
        <v>35</v>
      </c>
      <c r="B1" t="s">
        <v>36</v>
      </c>
      <c r="D1" t="s">
        <v>39</v>
      </c>
      <c r="E1" t="s">
        <v>40</v>
      </c>
      <c r="F1" t="s">
        <v>42</v>
      </c>
      <c r="G1" t="s">
        <v>41</v>
      </c>
    </row>
    <row r="2" spans="1:7" x14ac:dyDescent="0.25">
      <c r="A2">
        <v>0</v>
      </c>
      <c r="B2">
        <v>8</v>
      </c>
      <c r="D2">
        <v>2</v>
      </c>
      <c r="E2">
        <v>5</v>
      </c>
      <c r="F2">
        <f>(A2*D2) + (B2*E2)</f>
        <v>40</v>
      </c>
      <c r="G2">
        <v>40</v>
      </c>
    </row>
    <row r="4" spans="1:7" x14ac:dyDescent="0.25">
      <c r="A4" t="s">
        <v>37</v>
      </c>
      <c r="B4" t="s">
        <v>38</v>
      </c>
      <c r="D4" t="s">
        <v>43</v>
      </c>
      <c r="E4" t="s">
        <v>44</v>
      </c>
      <c r="F4" t="s">
        <v>45</v>
      </c>
      <c r="G4" t="s">
        <v>46</v>
      </c>
    </row>
    <row r="5" spans="1:7" x14ac:dyDescent="0.25">
      <c r="A5">
        <v>500</v>
      </c>
      <c r="B5">
        <v>1200</v>
      </c>
      <c r="D5">
        <v>4</v>
      </c>
      <c r="E5">
        <v>6</v>
      </c>
      <c r="F5">
        <f>(A2*D5) + (B2*E5)</f>
        <v>48</v>
      </c>
      <c r="G5">
        <v>48</v>
      </c>
    </row>
    <row r="7" spans="1:7" x14ac:dyDescent="0.25">
      <c r="A7" t="s">
        <v>47</v>
      </c>
      <c r="B7">
        <f>(A2*A5) + (B2*B5)</f>
        <v>9600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850C7-FBCA-455C-95E3-6E394D31D063}">
  <dimension ref="A1:G7"/>
  <sheetViews>
    <sheetView workbookViewId="0">
      <selection activeCell="F16" sqref="F16"/>
    </sheetView>
  </sheetViews>
  <sheetFormatPr defaultRowHeight="15" x14ac:dyDescent="0.25"/>
  <cols>
    <col min="1" max="1" width="11" bestFit="1" customWidth="1"/>
    <col min="2" max="2" width="15.42578125" bestFit="1" customWidth="1"/>
    <col min="3" max="3" width="13.7109375" bestFit="1" customWidth="1"/>
    <col min="4" max="4" width="12.42578125" bestFit="1" customWidth="1"/>
    <col min="5" max="5" width="16" bestFit="1" customWidth="1"/>
    <col min="6" max="6" width="12.7109375" bestFit="1" customWidth="1"/>
    <col min="7" max="7" width="12" bestFit="1" customWidth="1"/>
  </cols>
  <sheetData>
    <row r="1" spans="1:7" x14ac:dyDescent="0.25">
      <c r="A1" t="s">
        <v>48</v>
      </c>
      <c r="B1" t="s">
        <v>49</v>
      </c>
      <c r="C1" t="s">
        <v>60</v>
      </c>
      <c r="D1" t="s">
        <v>50</v>
      </c>
      <c r="E1" t="s">
        <v>55</v>
      </c>
      <c r="F1" t="s">
        <v>56</v>
      </c>
      <c r="G1" t="s">
        <v>57</v>
      </c>
    </row>
    <row r="2" spans="1:7" x14ac:dyDescent="0.25">
      <c r="A2">
        <v>80</v>
      </c>
      <c r="B2">
        <v>0</v>
      </c>
      <c r="C2">
        <v>0</v>
      </c>
      <c r="D2">
        <v>0.5</v>
      </c>
      <c r="E2">
        <v>0.3</v>
      </c>
      <c r="F2">
        <f>(A2*D2) +(B2*E2)</f>
        <v>40</v>
      </c>
      <c r="G2">
        <v>40</v>
      </c>
    </row>
    <row r="4" spans="1:7" x14ac:dyDescent="0.25">
      <c r="A4" t="s">
        <v>51</v>
      </c>
      <c r="B4" t="s">
        <v>52</v>
      </c>
      <c r="D4" t="s">
        <v>53</v>
      </c>
      <c r="E4" t="s">
        <v>54</v>
      </c>
      <c r="F4" t="s">
        <v>58</v>
      </c>
      <c r="G4" t="s">
        <v>59</v>
      </c>
    </row>
    <row r="5" spans="1:7" x14ac:dyDescent="0.25">
      <c r="A5">
        <v>2</v>
      </c>
      <c r="B5">
        <v>1</v>
      </c>
      <c r="D5">
        <v>0.2</v>
      </c>
      <c r="E5">
        <v>0.4</v>
      </c>
      <c r="F5">
        <f>(A2*D5) + (B2*E5)</f>
        <v>16</v>
      </c>
      <c r="G5">
        <v>25</v>
      </c>
    </row>
    <row r="7" spans="1:7" x14ac:dyDescent="0.25">
      <c r="A7" t="s">
        <v>34</v>
      </c>
      <c r="B7">
        <f>(A2*A5) + (B2*B5)</f>
        <v>160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59C8-069A-4002-9823-58D4534F0831}">
  <dimension ref="A1:G7"/>
  <sheetViews>
    <sheetView workbookViewId="0">
      <selection activeCell="C2" sqref="C2"/>
    </sheetView>
  </sheetViews>
  <sheetFormatPr defaultRowHeight="15" x14ac:dyDescent="0.25"/>
  <cols>
    <col min="1" max="1" width="9.5703125" bestFit="1" customWidth="1"/>
    <col min="2" max="2" width="11.140625" bestFit="1" customWidth="1"/>
    <col min="3" max="3" width="11.140625" customWidth="1"/>
    <col min="4" max="4" width="12.85546875" bestFit="1" customWidth="1"/>
    <col min="5" max="5" width="13.140625" bestFit="1" customWidth="1"/>
    <col min="6" max="6" width="12.42578125" bestFit="1" customWidth="1"/>
    <col min="7" max="7" width="11.7109375" bestFit="1" customWidth="1"/>
  </cols>
  <sheetData>
    <row r="1" spans="1:7" x14ac:dyDescent="0.25">
      <c r="A1" t="s">
        <v>61</v>
      </c>
      <c r="B1" t="s">
        <v>62</v>
      </c>
      <c r="C1" t="s">
        <v>112</v>
      </c>
      <c r="D1" t="s">
        <v>63</v>
      </c>
      <c r="E1" t="s">
        <v>64</v>
      </c>
      <c r="F1" t="s">
        <v>65</v>
      </c>
      <c r="G1" t="s">
        <v>66</v>
      </c>
    </row>
    <row r="2" spans="1:7" x14ac:dyDescent="0.25">
      <c r="A2">
        <v>0</v>
      </c>
      <c r="B2">
        <v>0</v>
      </c>
      <c r="C2">
        <v>8</v>
      </c>
      <c r="D2">
        <v>2</v>
      </c>
      <c r="E2">
        <v>5</v>
      </c>
      <c r="F2">
        <f>(A2*D2) + (B2*E2)</f>
        <v>0</v>
      </c>
      <c r="G2">
        <v>200</v>
      </c>
    </row>
    <row r="4" spans="1:7" x14ac:dyDescent="0.25">
      <c r="A4" t="s">
        <v>67</v>
      </c>
      <c r="B4" t="s">
        <v>68</v>
      </c>
      <c r="D4" t="s">
        <v>125</v>
      </c>
      <c r="E4" t="s">
        <v>126</v>
      </c>
      <c r="F4" t="s">
        <v>127</v>
      </c>
      <c r="G4" t="s">
        <v>128</v>
      </c>
    </row>
    <row r="5" spans="1:7" x14ac:dyDescent="0.25">
      <c r="A5">
        <v>10</v>
      </c>
      <c r="B5">
        <v>30</v>
      </c>
      <c r="D5">
        <v>1</v>
      </c>
      <c r="E5">
        <v>4</v>
      </c>
      <c r="F5">
        <f>A2*D5+B2*E5</f>
        <v>0</v>
      </c>
      <c r="G5">
        <v>120</v>
      </c>
    </row>
    <row r="7" spans="1:7" x14ac:dyDescent="0.25">
      <c r="A7" t="s">
        <v>47</v>
      </c>
      <c r="B7">
        <f>(A2*A5) + (B2*B5)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1B10-AA7B-460C-9C51-C2F7DDAA3E42}">
  <dimension ref="A1:G7"/>
  <sheetViews>
    <sheetView tabSelected="1" workbookViewId="0">
      <selection activeCell="C2" sqref="C2"/>
    </sheetView>
  </sheetViews>
  <sheetFormatPr defaultRowHeight="15" x14ac:dyDescent="0.25"/>
  <cols>
    <col min="1" max="1" width="9.5703125" bestFit="1" customWidth="1"/>
    <col min="2" max="2" width="11.140625" bestFit="1" customWidth="1"/>
    <col min="3" max="3" width="11.140625" customWidth="1"/>
    <col min="4" max="4" width="12.85546875" bestFit="1" customWidth="1"/>
    <col min="5" max="5" width="13.140625" bestFit="1" customWidth="1"/>
    <col min="6" max="6" width="12.42578125" bestFit="1" customWidth="1"/>
    <col min="7" max="7" width="11.7109375" bestFit="1" customWidth="1"/>
  </cols>
  <sheetData>
    <row r="1" spans="1:7" x14ac:dyDescent="0.25">
      <c r="A1" t="s">
        <v>61</v>
      </c>
      <c r="B1" t="s">
        <v>62</v>
      </c>
      <c r="C1" t="s">
        <v>112</v>
      </c>
      <c r="D1" t="s">
        <v>63</v>
      </c>
      <c r="E1" t="s">
        <v>64</v>
      </c>
      <c r="F1" t="s">
        <v>65</v>
      </c>
      <c r="G1" t="s">
        <v>66</v>
      </c>
    </row>
    <row r="2" spans="1:7" x14ac:dyDescent="0.25">
      <c r="A2">
        <v>0</v>
      </c>
      <c r="B2">
        <v>0</v>
      </c>
      <c r="C2">
        <v>8</v>
      </c>
      <c r="D2">
        <v>2</v>
      </c>
      <c r="E2">
        <v>5</v>
      </c>
      <c r="F2">
        <f>(A2*D2) + (B2*E2)</f>
        <v>0</v>
      </c>
      <c r="G2">
        <v>200</v>
      </c>
    </row>
    <row r="4" spans="1:7" x14ac:dyDescent="0.25">
      <c r="A4" t="s">
        <v>67</v>
      </c>
      <c r="B4" t="s">
        <v>68</v>
      </c>
      <c r="D4" t="s">
        <v>125</v>
      </c>
      <c r="E4" t="s">
        <v>126</v>
      </c>
      <c r="F4" t="s">
        <v>127</v>
      </c>
      <c r="G4" t="s">
        <v>128</v>
      </c>
    </row>
    <row r="5" spans="1:7" x14ac:dyDescent="0.25">
      <c r="A5">
        <v>10</v>
      </c>
      <c r="B5">
        <v>30</v>
      </c>
      <c r="D5">
        <v>1</v>
      </c>
      <c r="E5">
        <v>4</v>
      </c>
      <c r="F5">
        <f>A2*D5+B2*E5</f>
        <v>0</v>
      </c>
      <c r="G5">
        <v>120</v>
      </c>
    </row>
    <row r="7" spans="1:7" x14ac:dyDescent="0.25">
      <c r="A7" t="s">
        <v>47</v>
      </c>
      <c r="B7">
        <f>(A2*A5) + (B2*B5)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BFAB-B70E-4AD5-BB27-EF04BA7DCDBA}">
  <dimension ref="A1:G7"/>
  <sheetViews>
    <sheetView workbookViewId="0">
      <selection activeCell="L9" sqref="L9"/>
    </sheetView>
  </sheetViews>
  <sheetFormatPr defaultRowHeight="15" x14ac:dyDescent="0.25"/>
  <cols>
    <col min="4" max="5" width="15.7109375" bestFit="1" customWidth="1"/>
    <col min="6" max="6" width="19.28515625" bestFit="1" customWidth="1"/>
    <col min="7" max="7" width="11.140625" bestFit="1" customWidth="1"/>
  </cols>
  <sheetData>
    <row r="1" spans="1:7" x14ac:dyDescent="0.25">
      <c r="A1" t="s">
        <v>69</v>
      </c>
      <c r="B1" t="s">
        <v>70</v>
      </c>
      <c r="D1" t="s">
        <v>71</v>
      </c>
      <c r="E1" t="s">
        <v>72</v>
      </c>
      <c r="F1" t="s">
        <v>73</v>
      </c>
      <c r="G1" t="s">
        <v>74</v>
      </c>
    </row>
    <row r="2" spans="1:7" x14ac:dyDescent="0.25">
      <c r="A2">
        <v>3.9999999999999929</v>
      </c>
      <c r="B2">
        <v>22</v>
      </c>
      <c r="D2">
        <v>3</v>
      </c>
      <c r="E2">
        <v>4</v>
      </c>
      <c r="F2">
        <f>(A2*D2) + (B2*E2)</f>
        <v>99.999999999999972</v>
      </c>
      <c r="G2">
        <v>100</v>
      </c>
    </row>
    <row r="4" spans="1:7" x14ac:dyDescent="0.25">
      <c r="A4" t="s">
        <v>37</v>
      </c>
      <c r="B4" t="s">
        <v>38</v>
      </c>
      <c r="D4" t="s">
        <v>116</v>
      </c>
      <c r="E4" t="s">
        <v>117</v>
      </c>
      <c r="F4" t="s">
        <v>118</v>
      </c>
      <c r="G4" t="s">
        <v>119</v>
      </c>
    </row>
    <row r="5" spans="1:7" x14ac:dyDescent="0.25">
      <c r="A5">
        <v>8</v>
      </c>
      <c r="B5">
        <v>12</v>
      </c>
      <c r="D5">
        <v>1</v>
      </c>
      <c r="E5">
        <v>3</v>
      </c>
      <c r="F5">
        <f>(A2*D5)+(B2*E5)</f>
        <v>70</v>
      </c>
      <c r="G5">
        <v>70</v>
      </c>
    </row>
    <row r="7" spans="1:7" x14ac:dyDescent="0.25">
      <c r="A7" t="s">
        <v>47</v>
      </c>
      <c r="B7">
        <f>(A2*A5) + (B2*B5)</f>
        <v>295.99999999999994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7AEB-1066-46A1-A9E9-9CC19FE9290B}">
  <dimension ref="A1:G7"/>
  <sheetViews>
    <sheetView workbookViewId="0">
      <selection activeCell="V17" sqref="V17"/>
    </sheetView>
  </sheetViews>
  <sheetFormatPr defaultRowHeight="15" x14ac:dyDescent="0.25"/>
  <cols>
    <col min="4" max="5" width="15.7109375" bestFit="1" customWidth="1"/>
    <col min="6" max="6" width="19.28515625" bestFit="1" customWidth="1"/>
    <col min="7" max="7" width="11.140625" bestFit="1" customWidth="1"/>
  </cols>
  <sheetData>
    <row r="1" spans="1:7" x14ac:dyDescent="0.25">
      <c r="A1" t="s">
        <v>69</v>
      </c>
      <c r="B1" t="s">
        <v>70</v>
      </c>
      <c r="C1" t="s">
        <v>114</v>
      </c>
      <c r="D1" t="s">
        <v>71</v>
      </c>
      <c r="E1" t="s">
        <v>72</v>
      </c>
      <c r="F1" t="s">
        <v>73</v>
      </c>
      <c r="G1" t="s">
        <v>74</v>
      </c>
    </row>
    <row r="2" spans="1:7" x14ac:dyDescent="0.25">
      <c r="A2">
        <v>12</v>
      </c>
      <c r="B2">
        <v>16</v>
      </c>
      <c r="C2">
        <v>1</v>
      </c>
      <c r="D2">
        <v>3</v>
      </c>
      <c r="E2">
        <v>4</v>
      </c>
      <c r="F2">
        <f>(A2*D2) + (B2*E2)</f>
        <v>100</v>
      </c>
      <c r="G2">
        <v>100</v>
      </c>
    </row>
    <row r="4" spans="1:7" x14ac:dyDescent="0.25">
      <c r="A4" t="s">
        <v>37</v>
      </c>
      <c r="B4" t="s">
        <v>38</v>
      </c>
      <c r="D4" t="s">
        <v>116</v>
      </c>
      <c r="E4" t="s">
        <v>117</v>
      </c>
      <c r="F4" t="s">
        <v>118</v>
      </c>
      <c r="G4" t="s">
        <v>119</v>
      </c>
    </row>
    <row r="5" spans="1:7" x14ac:dyDescent="0.25">
      <c r="A5">
        <v>8</v>
      </c>
      <c r="B5">
        <v>12</v>
      </c>
      <c r="D5">
        <v>1</v>
      </c>
      <c r="E5">
        <v>3</v>
      </c>
      <c r="F5">
        <f>(A2*D5)+(B2*E5)</f>
        <v>60</v>
      </c>
      <c r="G5">
        <v>70</v>
      </c>
    </row>
    <row r="7" spans="1:7" x14ac:dyDescent="0.25">
      <c r="A7" t="s">
        <v>47</v>
      </c>
      <c r="B7">
        <f>(A2*A5) + (B2*B5)</f>
        <v>288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0A89-0D83-4B0C-9C48-A75F60265C3B}">
  <dimension ref="A1:H7"/>
  <sheetViews>
    <sheetView workbookViewId="0">
      <selection activeCell="E14" sqref="E14"/>
    </sheetView>
  </sheetViews>
  <sheetFormatPr defaultRowHeight="15" x14ac:dyDescent="0.25"/>
  <cols>
    <col min="3" max="4" width="9" customWidth="1"/>
    <col min="5" max="6" width="15.7109375" bestFit="1" customWidth="1"/>
    <col min="7" max="7" width="19.28515625" bestFit="1" customWidth="1"/>
    <col min="8" max="8" width="11.140625" bestFit="1" customWidth="1"/>
  </cols>
  <sheetData>
    <row r="1" spans="1:8" x14ac:dyDescent="0.25">
      <c r="A1" t="s">
        <v>69</v>
      </c>
      <c r="B1" t="s">
        <v>70</v>
      </c>
      <c r="C1" t="s">
        <v>114</v>
      </c>
      <c r="D1" t="s">
        <v>113</v>
      </c>
      <c r="E1" t="s">
        <v>71</v>
      </c>
      <c r="F1" t="s">
        <v>72</v>
      </c>
      <c r="G1" t="s">
        <v>73</v>
      </c>
      <c r="H1" t="s">
        <v>74</v>
      </c>
    </row>
    <row r="2" spans="1:8" x14ac:dyDescent="0.25">
      <c r="A2">
        <v>10.000000000000009</v>
      </c>
      <c r="B2">
        <v>17</v>
      </c>
      <c r="C2">
        <v>1</v>
      </c>
      <c r="D2">
        <v>2</v>
      </c>
      <c r="E2">
        <v>3</v>
      </c>
      <c r="F2">
        <v>4</v>
      </c>
      <c r="G2">
        <f>(A2*E2) + (B2*F2)</f>
        <v>98.000000000000028</v>
      </c>
      <c r="H2">
        <v>100</v>
      </c>
    </row>
    <row r="3" spans="1:8" x14ac:dyDescent="0.25">
      <c r="B3">
        <v>0</v>
      </c>
    </row>
    <row r="4" spans="1:8" x14ac:dyDescent="0.25">
      <c r="A4" t="s">
        <v>37</v>
      </c>
      <c r="B4" t="s">
        <v>38</v>
      </c>
      <c r="E4" t="s">
        <v>116</v>
      </c>
      <c r="F4" t="s">
        <v>117</v>
      </c>
      <c r="G4" t="s">
        <v>118</v>
      </c>
      <c r="H4" t="s">
        <v>119</v>
      </c>
    </row>
    <row r="5" spans="1:8" x14ac:dyDescent="0.25">
      <c r="A5">
        <v>8</v>
      </c>
      <c r="B5">
        <v>12</v>
      </c>
      <c r="E5">
        <v>1</v>
      </c>
      <c r="F5">
        <v>3</v>
      </c>
      <c r="G5">
        <f>(A2*E5)+(B2*F5)</f>
        <v>61.000000000000007</v>
      </c>
      <c r="H5">
        <v>70</v>
      </c>
    </row>
    <row r="7" spans="1:8" x14ac:dyDescent="0.25">
      <c r="A7" t="s">
        <v>47</v>
      </c>
      <c r="B7">
        <f>(A2*A5) + (B2*B5)</f>
        <v>284.00000000000006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51EE-5B2F-46E1-9956-742F05BBB0ED}">
  <dimension ref="A1:F8"/>
  <sheetViews>
    <sheetView workbookViewId="0">
      <selection activeCell="D8" sqref="D8"/>
    </sheetView>
  </sheetViews>
  <sheetFormatPr defaultRowHeight="15" x14ac:dyDescent="0.25"/>
  <cols>
    <col min="1" max="1" width="9.5703125" bestFit="1" customWidth="1"/>
    <col min="2" max="2" width="9.42578125" bestFit="1" customWidth="1"/>
    <col min="3" max="3" width="14.85546875" bestFit="1" customWidth="1"/>
    <col min="4" max="4" width="13.140625" bestFit="1" customWidth="1"/>
    <col min="5" max="5" width="11.140625" bestFit="1" customWidth="1"/>
    <col min="6" max="6" width="11.42578125" bestFit="1" customWidth="1"/>
  </cols>
  <sheetData>
    <row r="1" spans="1:6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</row>
    <row r="2" spans="1:6" x14ac:dyDescent="0.25">
      <c r="A2">
        <v>0</v>
      </c>
      <c r="B2">
        <v>10</v>
      </c>
      <c r="C2">
        <v>2500</v>
      </c>
      <c r="D2">
        <v>500</v>
      </c>
      <c r="E2">
        <f>(A2*C2) + (B2*D2)</f>
        <v>5000</v>
      </c>
      <c r="F2">
        <v>5000</v>
      </c>
    </row>
    <row r="4" spans="1:6" x14ac:dyDescent="0.25">
      <c r="C4" t="s">
        <v>84</v>
      </c>
      <c r="D4" t="s">
        <v>83</v>
      </c>
      <c r="E4" t="s">
        <v>81</v>
      </c>
      <c r="F4" t="s">
        <v>82</v>
      </c>
    </row>
    <row r="5" spans="1:6" x14ac:dyDescent="0.25">
      <c r="C5">
        <v>5000</v>
      </c>
      <c r="D5">
        <v>10000</v>
      </c>
      <c r="E5">
        <f>(A2*C5) + (B2*D5)</f>
        <v>100000</v>
      </c>
      <c r="F5">
        <v>50000</v>
      </c>
    </row>
    <row r="7" spans="1:6" x14ac:dyDescent="0.25">
      <c r="C7" t="s">
        <v>120</v>
      </c>
      <c r="D7" t="s">
        <v>121</v>
      </c>
      <c r="E7" t="s">
        <v>122</v>
      </c>
    </row>
    <row r="8" spans="1:6" x14ac:dyDescent="0.25">
      <c r="C8">
        <v>600</v>
      </c>
      <c r="D8">
        <v>150</v>
      </c>
      <c r="E8">
        <f>(A2*C8)+(B2*D8)</f>
        <v>1500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B3E0-D6ED-44AC-9D84-590F597E6DDD}">
  <dimension ref="A1:G8"/>
  <sheetViews>
    <sheetView workbookViewId="0">
      <selection activeCell="D8" sqref="D8"/>
    </sheetView>
  </sheetViews>
  <sheetFormatPr defaultRowHeight="15" x14ac:dyDescent="0.25"/>
  <cols>
    <col min="1" max="1" width="9.5703125" bestFit="1" customWidth="1"/>
    <col min="2" max="2" width="9.42578125" bestFit="1" customWidth="1"/>
    <col min="4" max="4" width="14.85546875" bestFit="1" customWidth="1"/>
    <col min="5" max="5" width="13.140625" bestFit="1" customWidth="1"/>
    <col min="6" max="6" width="11.140625" bestFit="1" customWidth="1"/>
    <col min="7" max="7" width="11.42578125" bestFit="1" customWidth="1"/>
  </cols>
  <sheetData>
    <row r="1" spans="1:7" x14ac:dyDescent="0.25">
      <c r="A1" t="s">
        <v>75</v>
      </c>
      <c r="B1" t="s">
        <v>76</v>
      </c>
      <c r="C1" t="s">
        <v>114</v>
      </c>
      <c r="D1" t="s">
        <v>77</v>
      </c>
      <c r="E1" t="s">
        <v>78</v>
      </c>
      <c r="F1" t="s">
        <v>79</v>
      </c>
      <c r="G1" t="s">
        <v>80</v>
      </c>
    </row>
    <row r="2" spans="1:7" x14ac:dyDescent="0.25">
      <c r="A2">
        <v>1</v>
      </c>
      <c r="B2">
        <v>5</v>
      </c>
      <c r="C2">
        <v>1</v>
      </c>
      <c r="D2">
        <v>2500</v>
      </c>
      <c r="E2">
        <v>500</v>
      </c>
      <c r="F2">
        <f>(A2*D2) + (B2*E2)</f>
        <v>5000</v>
      </c>
      <c r="G2">
        <v>5000</v>
      </c>
    </row>
    <row r="4" spans="1:7" x14ac:dyDescent="0.25">
      <c r="D4" t="s">
        <v>84</v>
      </c>
      <c r="E4" t="s">
        <v>83</v>
      </c>
      <c r="F4" t="s">
        <v>81</v>
      </c>
      <c r="G4" t="s">
        <v>82</v>
      </c>
    </row>
    <row r="5" spans="1:7" x14ac:dyDescent="0.25">
      <c r="D5">
        <v>5000</v>
      </c>
      <c r="E5">
        <v>10000</v>
      </c>
      <c r="F5">
        <f>(A2*D5) + (B2*E5)</f>
        <v>55000</v>
      </c>
      <c r="G5">
        <v>50000</v>
      </c>
    </row>
    <row r="7" spans="1:7" x14ac:dyDescent="0.25">
      <c r="D7" t="s">
        <v>120</v>
      </c>
      <c r="E7" t="s">
        <v>121</v>
      </c>
      <c r="F7" t="s">
        <v>122</v>
      </c>
    </row>
    <row r="8" spans="1:7" x14ac:dyDescent="0.25">
      <c r="D8">
        <v>600</v>
      </c>
      <c r="E8">
        <v>150</v>
      </c>
      <c r="F8">
        <f>(A2*D8)+(B2*E8)</f>
        <v>1350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006E6-319B-417B-8268-834103312E0E}">
  <dimension ref="A1:I9"/>
  <sheetViews>
    <sheetView workbookViewId="0">
      <selection activeCell="D2" sqref="D2"/>
    </sheetView>
  </sheetViews>
  <sheetFormatPr defaultRowHeight="15" x14ac:dyDescent="0.25"/>
  <cols>
    <col min="1" max="1" width="15.85546875" bestFit="1" customWidth="1"/>
    <col min="2" max="2" width="6.85546875" bestFit="1" customWidth="1"/>
    <col min="3" max="3" width="9.5703125" bestFit="1" customWidth="1"/>
    <col min="5" max="5" width="11" bestFit="1" customWidth="1"/>
    <col min="6" max="6" width="12.7109375" bestFit="1" customWidth="1"/>
    <col min="7" max="7" width="10" bestFit="1" customWidth="1"/>
    <col min="8" max="8" width="11.28515625" bestFit="1" customWidth="1"/>
    <col min="9" max="9" width="10.5703125" bestFit="1" customWidth="1"/>
  </cols>
  <sheetData>
    <row r="1" spans="1:9" x14ac:dyDescent="0.25">
      <c r="A1" t="s">
        <v>85</v>
      </c>
      <c r="B1" t="s">
        <v>86</v>
      </c>
      <c r="C1" t="s">
        <v>87</v>
      </c>
      <c r="D1" t="s">
        <v>114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>
        <v>25</v>
      </c>
      <c r="B2">
        <v>0</v>
      </c>
      <c r="C2">
        <v>50</v>
      </c>
      <c r="D2">
        <v>1</v>
      </c>
      <c r="E2">
        <v>2</v>
      </c>
      <c r="F2">
        <v>1</v>
      </c>
      <c r="G2">
        <v>1</v>
      </c>
      <c r="H2">
        <f>(A2*E2)+(B2*F2)+(C2*G2)</f>
        <v>100</v>
      </c>
      <c r="I2">
        <v>100</v>
      </c>
    </row>
    <row r="4" spans="1:9" x14ac:dyDescent="0.25">
      <c r="A4" t="s">
        <v>98</v>
      </c>
      <c r="B4" t="s">
        <v>99</v>
      </c>
      <c r="C4" t="s">
        <v>100</v>
      </c>
      <c r="E4" t="s">
        <v>93</v>
      </c>
      <c r="F4" t="s">
        <v>94</v>
      </c>
      <c r="G4" t="s">
        <v>95</v>
      </c>
      <c r="H4" t="s">
        <v>96</v>
      </c>
      <c r="I4" t="s">
        <v>97</v>
      </c>
    </row>
    <row r="5" spans="1:9" x14ac:dyDescent="0.25">
      <c r="A5">
        <v>220</v>
      </c>
      <c r="B5">
        <v>140</v>
      </c>
      <c r="C5">
        <v>300</v>
      </c>
      <c r="E5">
        <v>10</v>
      </c>
      <c r="F5">
        <v>20</v>
      </c>
      <c r="G5">
        <v>40</v>
      </c>
      <c r="H5">
        <f>(A2*E5)+(B2*F5)+(C2*G5)</f>
        <v>2250</v>
      </c>
      <c r="I5">
        <v>5000</v>
      </c>
    </row>
    <row r="7" spans="1:9" x14ac:dyDescent="0.25">
      <c r="A7" t="s">
        <v>34</v>
      </c>
      <c r="B7">
        <f>(A2*A5)+(B2*B5)+(C2*C5)</f>
        <v>20500</v>
      </c>
    </row>
    <row r="9" spans="1:9" x14ac:dyDescent="0.25">
      <c r="A9" t="s">
        <v>115</v>
      </c>
      <c r="B9">
        <f>B2+C2</f>
        <v>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78D7F-12E2-4826-8B42-2436CAA96134}">
  <dimension ref="A1:G7"/>
  <sheetViews>
    <sheetView workbookViewId="0">
      <selection activeCell="R6" sqref="R6"/>
    </sheetView>
  </sheetViews>
  <sheetFormatPr defaultRowHeight="15" x14ac:dyDescent="0.25"/>
  <cols>
    <col min="1" max="1" width="13.42578125" bestFit="1" customWidth="1"/>
    <col min="2" max="2" width="7.85546875" bestFit="1" customWidth="1"/>
    <col min="4" max="4" width="17" bestFit="1" customWidth="1"/>
    <col min="5" max="5" width="15.5703125" bestFit="1" customWidth="1"/>
    <col min="6" max="6" width="14" bestFit="1" customWidth="1"/>
    <col min="7" max="7" width="13.28515625" bestFit="1" customWidth="1"/>
  </cols>
  <sheetData>
    <row r="1" spans="1:7" x14ac:dyDescent="0.25">
      <c r="A1" t="s">
        <v>101</v>
      </c>
      <c r="B1" t="s">
        <v>102</v>
      </c>
      <c r="C1" t="s">
        <v>114</v>
      </c>
      <c r="D1" t="s">
        <v>103</v>
      </c>
      <c r="E1" t="s">
        <v>104</v>
      </c>
      <c r="F1" t="s">
        <v>105</v>
      </c>
      <c r="G1" t="s">
        <v>106</v>
      </c>
    </row>
    <row r="2" spans="1:7" x14ac:dyDescent="0.25">
      <c r="A2">
        <v>20</v>
      </c>
      <c r="B2">
        <v>20</v>
      </c>
      <c r="C2">
        <v>1</v>
      </c>
      <c r="D2">
        <v>1</v>
      </c>
      <c r="E2">
        <v>1</v>
      </c>
      <c r="F2">
        <f>(A2*D2)+(B2*E2)</f>
        <v>40</v>
      </c>
      <c r="G2">
        <v>50</v>
      </c>
    </row>
    <row r="4" spans="1:7" x14ac:dyDescent="0.25">
      <c r="D4" t="s">
        <v>107</v>
      </c>
      <c r="E4" t="s">
        <v>108</v>
      </c>
      <c r="F4" t="s">
        <v>109</v>
      </c>
      <c r="G4" t="s">
        <v>110</v>
      </c>
    </row>
    <row r="5" spans="1:7" x14ac:dyDescent="0.25">
      <c r="D5">
        <v>2</v>
      </c>
      <c r="E5">
        <v>1</v>
      </c>
      <c r="F5">
        <f>(A2*D5)+(B2*E5)</f>
        <v>60</v>
      </c>
      <c r="G5">
        <v>60</v>
      </c>
    </row>
    <row r="7" spans="1:7" x14ac:dyDescent="0.25">
      <c r="A7" t="s">
        <v>111</v>
      </c>
      <c r="B7">
        <f>A2+B2</f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S1</vt:lpstr>
      <vt:lpstr>S2</vt:lpstr>
      <vt:lpstr>S3</vt:lpstr>
      <vt:lpstr>S3 (2)</vt:lpstr>
      <vt:lpstr>L1</vt:lpstr>
      <vt:lpstr>L2</vt:lpstr>
      <vt:lpstr>L3</vt:lpstr>
      <vt:lpstr>L4 (1)</vt:lpstr>
      <vt:lpstr>L4 (2)</vt:lpstr>
      <vt:lpstr>L5</vt:lpstr>
      <vt:lpstr>L5 (2)</vt:lpstr>
      <vt:lpstr>L5 (3)</vt:lpstr>
      <vt:lpstr>L6</vt:lpstr>
      <vt:lpstr>L6 (2)</vt:lpstr>
      <vt:lpstr>L7</vt:lpstr>
      <vt:lpstr>L8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Chong Chang</dc:creator>
  <cp:lastModifiedBy>Yang, Chong Chang</cp:lastModifiedBy>
  <dcterms:created xsi:type="dcterms:W3CDTF">2026-02-10T22:07:52Z</dcterms:created>
  <dcterms:modified xsi:type="dcterms:W3CDTF">2026-02-19T22:24:30Z</dcterms:modified>
</cp:coreProperties>
</file>